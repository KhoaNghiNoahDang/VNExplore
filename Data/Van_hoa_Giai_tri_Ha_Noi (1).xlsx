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59E52D44-2903-4DDD-B3E3-DEF068C89628}" xr6:coauthVersionLast="47" xr6:coauthVersionMax="47" xr10:uidLastSave="{00000000-0000-0000-0000-000000000000}"/>
  <bookViews>
    <workbookView xWindow="-108" yWindow="-108" windowWidth="23256" windowHeight="12456" tabRatio="500" firstSheet="5" activeTab="8" xr2:uid="{00000000-000D-0000-FFFF-FFFF00000000}"/>
  </bookViews>
  <sheets>
    <sheet name="Huong_dan" sheetId="1" r:id="rId1"/>
    <sheet name="Su_kien" sheetId="2" r:id="rId2"/>
    <sheet name="Bao_tang" sheetId="3" r:id="rId3"/>
    <sheet name="Di_tich" sheetId="4" r:id="rId4"/>
    <sheet name="Cafe_nhac_song" sheetId="5" r:id="rId5"/>
    <sheet name="Workshop" sheetId="6" r:id="rId6"/>
    <sheet name="Photobooth" sheetId="7" r:id="rId7"/>
    <sheet name="Nha_hat_Dia_diem" sheetId="8" r:id="rId8"/>
    <sheet name="Nguon_theo_doi" sheetId="9" r:id="rId9"/>
  </sheets>
  <definedNames>
    <definedName name="_xlnm._FilterDatabase" localSheetId="2" hidden="1">Bao_tang!$A$1:$L$16</definedName>
    <definedName name="_xlnm._FilterDatabase" localSheetId="4" hidden="1">Cafe_nhac_song!$A$1:$K$15</definedName>
    <definedName name="_xlnm._FilterDatabase" localSheetId="3" hidden="1">Di_tich!$A$1:$L$19</definedName>
    <definedName name="_xlnm._FilterDatabase" localSheetId="8" hidden="1">Nguon_theo_doi!$A$1:$D$10</definedName>
    <definedName name="_xlnm._FilterDatabase" localSheetId="7" hidden="1">Nha_hat_Dia_diem!$A$1:$J$10</definedName>
    <definedName name="_xlnm._FilterDatabase" localSheetId="6" hidden="1">Photobooth!$A$1:$J$14</definedName>
    <definedName name="_xlnm._FilterDatabase" localSheetId="1" hidden="1">Su_kien!$A$1:$K$19</definedName>
    <definedName name="_xlnm._FilterDatabase" localSheetId="5" hidden="1">Workshop!$A$1:$J$12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9" i="2" l="1"/>
  <c r="E18" i="2"/>
  <c r="E17" i="2"/>
  <c r="E16" i="2"/>
  <c r="E15" i="2"/>
  <c r="E14" i="2"/>
  <c r="E13" i="2"/>
  <c r="E12" i="2"/>
  <c r="E11" i="2"/>
  <c r="E10" i="2"/>
  <c r="E9" i="2"/>
  <c r="E8" i="2"/>
  <c r="E7" i="2"/>
  <c r="E6" i="2"/>
  <c r="E5" i="2"/>
  <c r="E4" i="2"/>
  <c r="E3" i="2"/>
  <c r="E2" i="2"/>
  <c r="B12" i="1"/>
  <c r="C11" i="1"/>
  <c r="B11" i="1"/>
  <c r="C10" i="1"/>
  <c r="B10" i="1"/>
  <c r="C9" i="1"/>
  <c r="B9" i="1"/>
  <c r="C8" i="1"/>
  <c r="B8" i="1"/>
  <c r="C7" i="1"/>
  <c r="B7" i="1"/>
  <c r="C6" i="1"/>
  <c r="B6" i="1"/>
  <c r="C5" i="1"/>
  <c r="B5" i="1"/>
  <c r="C13" i="1" l="1"/>
  <c r="B13" i="1"/>
</calcChain>
</file>

<file path=xl/sharedStrings.xml><?xml version="1.0" encoding="utf-8"?>
<sst xmlns="http://schemas.openxmlformats.org/spreadsheetml/2006/main" count="1097" uniqueCount="548">
  <si>
    <t>DỮ LIỆU VĂN HÓA – GIẢI TRÍ HÀ NỘI</t>
  </si>
  <si>
    <t>Tổng hợp ngày 03/10/2026 từ kết quả tìm kiếm web. Mỗi dòng có link nguồn bấm được.</t>
  </si>
  <si>
    <t>Sheet</t>
  </si>
  <si>
    <t>Số dòng</t>
  </si>
  <si>
    <t>Số dòng cần kiểm tra</t>
  </si>
  <si>
    <t>Su_kien</t>
  </si>
  <si>
    <t>Bao_tang</t>
  </si>
  <si>
    <t>Di_tich</t>
  </si>
  <si>
    <t>Cafe_nhac_song</t>
  </si>
  <si>
    <t>Workshop</t>
  </si>
  <si>
    <t>Photobooth</t>
  </si>
  <si>
    <t>Nha_hat_Dia_diem</t>
  </si>
  <si>
    <t>Nguon_theo_doi</t>
  </si>
  <si>
    <t>—</t>
  </si>
  <si>
    <t>Tổng</t>
  </si>
  <si>
    <t>CÁCH ĐỌC</t>
  </si>
  <si>
    <t>• Cột "Trạng thái" ở sheet Su_kien tự tính theo ngày hôm nay (Đã diễn ra / Đang diễn ra / Sắp diễn ra).</t>
  </si>
  <si>
    <t>• Dòng tô vàng = "Cần kiểm tra": thiếu địa chỉ, nguồn mâu thuẫn, hoặc chưa tìm được link. Lý do ghi ở cột Xác minh.</t>
  </si>
  <si>
    <t>• Loại nguồn: Chính thức = web của chính đơn vị/sự kiện hoặc văn bản nhà nước; Nền tảng bán vé; Báo chí; Trang du lịch/tổng hợp.</t>
  </si>
  <si>
    <t>• Nhiều sự kiện cấp thành phố (Festival Thăng Long, Jazztival, Lễ hội Văn hóa Thế giới…) không có website riêng, nên link nguồn là bài báo.</t>
  </si>
  <si>
    <t>• Giá vé, giờ mở cửa có thể thay đổi; luôn kiểm tra lại trên link nguồn trước khi đi.</t>
  </si>
  <si>
    <t>• Số liệu chung: Hà Nội có 5.922 di tích được kiểm kê (1 di sản thế giới, 21 cụm QG đặc biệt, 1.160 di tích QG, 1.456 di tích cấp TP). Nguồn: quanlynhanuoc.vn/?p=43520</t>
  </si>
  <si>
    <t>• Cột "Giới thiệu ngắn" được viết lại bằng lời của mình dựa trên nguồn ở cột bên cạnh. "Hiểu biết chung" = thông tin phổ biến nhưng link chỉ xác nhận tên/xếp hạng, chưa đối chiếu nội dung giới thiệu.</t>
  </si>
  <si>
    <t>Tên sự kiện</t>
  </si>
  <si>
    <t>Loại hình</t>
  </si>
  <si>
    <t>Ngày bắt đầu</t>
  </si>
  <si>
    <t>Ngày kết thúc</t>
  </si>
  <si>
    <t>Trạng thái (tự tính)</t>
  </si>
  <si>
    <t>Địa điểm</t>
  </si>
  <si>
    <t>Giá vé</t>
  </si>
  <si>
    <t>Mô tả ngắn</t>
  </si>
  <si>
    <t>Link nguồn</t>
  </si>
  <si>
    <t>Loại nguồn</t>
  </si>
  <si>
    <t>Xác minh</t>
  </si>
  <si>
    <t>Lễ hội Văn hóa Thế giới tại Hà Nội lần II – "Hội tụ di sản, Kiến tạo tương lai"</t>
  </si>
  <si>
    <t>Lễ hội quốc tế</t>
  </si>
  <si>
    <t>Hoàng thành Thăng Long</t>
  </si>
  <si>
    <t>Chưa công bố</t>
  </si>
  <si>
    <t>45 không gian văn hóa, 35 gian ẩm thực, chiếu phim 18 nước, thời trang 19 nước, 20 đoàn nghệ thuật quốc tế</t>
  </si>
  <si>
    <t>https://mekongasean.vn/sap-dien-ra-le-hoi-van-hoa-the-gioi-tai-ha-noi-lan-thu-hai-59854.html</t>
  </si>
  <si>
    <t>Báo chí</t>
  </si>
  <si>
    <t>Đã đối chiếu nguồn</t>
  </si>
  <si>
    <t>Vietnam Airlines Classic – Hanoi Concert 2026 (London Symphony Orchestra)</t>
  </si>
  <si>
    <t>Hòa nhạc giao hưởng</t>
  </si>
  <si>
    <t>Nhà hát Hồ Gươm</t>
  </si>
  <si>
    <t>Xem web nhà hát</t>
  </si>
  <si>
    <t>LSO do Sir Antonio Pappano chỉ huy; vé bán trên web Nhà hát Hồ Gươm</t>
  </si>
  <si>
    <t>https://hoguomopera.com/</t>
  </si>
  <si>
    <t>Chính thức (web bán vé)</t>
  </si>
  <si>
    <t>Musique de Salon 22: Âm nhạc và Điện ảnh II</t>
  </si>
  <si>
    <t>Hòa nhạc</t>
  </si>
  <si>
    <t>Cung Văn hóa Lao động Hữu nghị Việt Xô</t>
  </si>
  <si>
    <t>Từ 900.000đ</t>
  </si>
  <si>
    <t>Đêm nhạc chủ đề âm nhạc điện ảnh</t>
  </si>
  <si>
    <t>https://vticket.com.vn/</t>
  </si>
  <si>
    <t>Nền tảng bán vé</t>
  </si>
  <si>
    <t>Giải Marathon Quốc tế Hà Nội Techcombank mùa 5</t>
  </si>
  <si>
    <t>Thể thao cộng đồng</t>
  </si>
  <si>
    <t>Cung đường qua 37 địa danh của Thủ đô</t>
  </si>
  <si>
    <t>Theo BTC</t>
  </si>
  <si>
    <t>Khoảng 14.000 VĐV</t>
  </si>
  <si>
    <t>https://doanhnghiephoinhap.vn/loi-song&amp;by-date=2026-08-19T16-39</t>
  </si>
  <si>
    <t>Sân khấu kịch huyền ảo: Nguyễn Du – Hồ Xuân Hương Ngoại Truyện</t>
  </si>
  <si>
    <t>Kịch</t>
  </si>
  <si>
    <t>Xem trang vé</t>
  </si>
  <si>
    <t>Các suất 09/10, 16/10, 06/11/2026</t>
  </si>
  <si>
    <t>https://ticketgo.vn/</t>
  </si>
  <si>
    <t>Cần kiểm tra: trang vé không ghi rõ thành phố</t>
  </si>
  <si>
    <t>Subscription Concert Vol 187 | Haydn – Otaka – Debussy</t>
  </si>
  <si>
    <t>Hòa nhạc cổ điển</t>
  </si>
  <si>
    <t>Hà Nội (xem trang vé)</t>
  </si>
  <si>
    <t>Từ 500.000đ</t>
  </si>
  <si>
    <t>Hòa nhạc đặt vé trước số 187</t>
  </si>
  <si>
    <t>https://ticketgo.vn/event/category/am-nhac</t>
  </si>
  <si>
    <t>Concert Anh trai vượt ngàn chông gai 2026</t>
  </si>
  <si>
    <t>Concert</t>
  </si>
  <si>
    <t>Đã bán hết vé</t>
  </si>
  <si>
    <t>Hai đêm diễn, đã cháy vé</t>
  </si>
  <si>
    <t>https://vtv.vn/su-bung-no-cua-cac-concert-quy-mo-lon-va-co-hoi-dinh-hinh-cac-ip-van-hoa-100260928161459087.htm</t>
  </si>
  <si>
    <t>Cần kiểm tra: bài báo không ghi rõ thành phố</t>
  </si>
  <si>
    <t>Liveshow Hoàng Tôn – 14 Casper – Bon Nghiêm: Lời Chưa Kịp Nói | Sky Melody</t>
  </si>
  <si>
    <t>Liveshow</t>
  </si>
  <si>
    <t>Sky Melody (xem trang vé)</t>
  </si>
  <si>
    <t>BIGBANG 2026-2027 World Tour &lt;XX: COSMOS&gt; in Hanoi</t>
  </si>
  <si>
    <t>Sân vận động Mỹ Đình</t>
  </si>
  <si>
    <t>Xem kênh bán vé chính thức</t>
  </si>
  <si>
    <t>Tâm điểm mùa concert tháng 10</t>
  </si>
  <si>
    <t>Lễ hội Thiết kế Sáng tạo Hà Nội 2026 – "Kinh tế sáng tạo" (hoạt động chính)</t>
  </si>
  <si>
    <t>Lễ hội thiết kế</t>
  </si>
  <si>
    <t>Trung tâm: khu chợ Đồng Xuân – Bắc Qua; nhiều điểm toàn TP</t>
  </si>
  <si>
    <t>Chuỗi hoạt động từ tháng 1–11, hoạt động chính tháng 11</t>
  </si>
  <si>
    <t>https://daibieunhandan.vn/print/10400007.html</t>
  </si>
  <si>
    <t>Cần kiểm tra: ngày cụ thể trong tháng 11 chưa công bố</t>
  </si>
  <si>
    <t>Liên hoan Phim Quốc tế Hà Nội lần VIII (HANIFF VIII)</t>
  </si>
  <si>
    <t>Liên hoan phim</t>
  </si>
  <si>
    <t>Hà Nội</t>
  </si>
  <si>
    <t>Ngày dự kiến</t>
  </si>
  <si>
    <t>https://baoquocte.vn/van-hoa&amp;by-date=2026-08-19T14-23</t>
  </si>
  <si>
    <t>Cần kiểm tra: lịch dự kiến</t>
  </si>
  <si>
    <t>Tụ hội Sáng tạo – khởi động Lễ hội TKST Hà Nội 2026</t>
  </si>
  <si>
    <t>Quảng trường Đông Kinh Nghĩa Thục &amp; phố đi bộ hồ Hoàn Kiếm</t>
  </si>
  <si>
    <t>Miễn phí</t>
  </si>
  <si>
    <t>Hơn 200 đơn vị sáng tạo tham gia</t>
  </si>
  <si>
    <t>https://baovanhoa.vn/van-hoa/khai-mac-chuong-trinh-tu-hoi-sang-tao-hanh-trinh-den-le-hoi-thiet-ke-sang-tao-ha-noi-2026-196443.html</t>
  </si>
  <si>
    <t>Crescendo – Giao hưởng kết nối (hòa nhạc ngoài trời)</t>
  </si>
  <si>
    <t>Nhà Bát Giác, hồ Hoàn Kiếm</t>
  </si>
  <si>
    <t>Miễn phí (ngoài trời)</t>
  </si>
  <si>
    <t>Một phần Liên hoan Âm nhạc Quốc tế Crescendo 2026</t>
  </si>
  <si>
    <t>https://thoibaotaichinhvietnam.vn/nhieu-phim-viet-se-duoc-chieu-tai-lien-hoan-phim-quoc-te-ha-noi-71410.html</t>
  </si>
  <si>
    <t>Live concert Thanh Tùng – Legacy of Love 2026</t>
  </si>
  <si>
    <t>Liên hoan Sân khấu Hà Nội mở rộng 2026</t>
  </si>
  <si>
    <t>Sân khấu</t>
  </si>
  <si>
    <t>Rạp Công Nhân, Đại Nam, Hồng Hà, Cung Việt Xô, Nhà hát Hồ Gươm…</t>
  </si>
  <si>
    <t>Theo từng vở</t>
  </si>
  <si>
    <t>Chèo, cải lương, kịch nói, nhạc kịch, xiếc, rối, tuồng</t>
  </si>
  <si>
    <t>https://daibieunhandan.vn/dau-thang-9-se-dien-ra-lien-hoan-san-khau-ha-noi-mo-rong-2026-10416231.html</t>
  </si>
  <si>
    <t>Festival Thăng Long – Hà Nội lần II "Dòng chảy di sản"</t>
  </si>
  <si>
    <t>Festival</t>
  </si>
  <si>
    <t>Hoàng thành, Văn Miếu, Bảo tàng HN, Bát Tràng, Tượng đài Cảm tử, QT Đông Kinh Nghĩa Thục</t>
  </si>
  <si>
    <t>Phần lớn miễn phí</t>
  </si>
  <si>
    <t>Hàng chục sự kiện, hơn 3.000 nghệ sĩ</t>
  </si>
  <si>
    <t>https://baoquocte.vn/khai-mac-festival-thang-long-ha-noi-2026-bua-tiec-nghe-thuat-da-mau-sac-van-hoa-442897.html</t>
  </si>
  <si>
    <t>Hanoi Jazztival 2026 – "Jazz Hà Nội, Giai điệu không biên giới"</t>
  </si>
  <si>
    <t>Liên hoan âm nhạc</t>
  </si>
  <si>
    <t>Vườn âm nhạc Nhà hát Lớn, 22 Hàng Buồm, Bảo tàng Phụ nữ, các jazz club</t>
  </si>
  <si>
    <t>Khai mạc, tọa đàm, workshop, Night Jam tại jazz club</t>
  </si>
  <si>
    <t>https://nhadautu.vn/kham-pha-ban-do-nhac-jazz-quoc-te-tai-ha-noi-vao-thang-9-d106942.html</t>
  </si>
  <si>
    <t>Liên hoan Phim tài liệu châu Âu – Việt Nam lần 16</t>
  </si>
  <si>
    <t>Hãng Phim tài liệu và khoa học TW, 465 Hoàng Hoa Thám</t>
  </si>
  <si>
    <t>25 phim (11 quốc tế, 14 Việt Nam)</t>
  </si>
  <si>
    <t>https://mekongasean.vn/14-tac-pham-trong-nuoc-tham-gia-lien-hoan-phim-tai-lieu-chau-au-viet-nam-2026-59631.html</t>
  </si>
  <si>
    <t>Tên bảo tàng</t>
  </si>
  <si>
    <t>Chủ đề</t>
  </si>
  <si>
    <t>Địa chỉ</t>
  </si>
  <si>
    <t>Giờ mở cửa</t>
  </si>
  <si>
    <t>Ghi chú</t>
  </si>
  <si>
    <t>Website / Link nguồn</t>
  </si>
  <si>
    <t>Giới thiệu ngắn</t>
  </si>
  <si>
    <t>Nguồn giới thiệu</t>
  </si>
  <si>
    <t>Loại nguồn giới thiệu</t>
  </si>
  <si>
    <t>Bảo tàng Hà Nội</t>
  </si>
  <si>
    <t>Lịch sử – văn hóa Thủ đô</t>
  </si>
  <si>
    <t>Phạm Hùng, Nam Từ Liêm</t>
  </si>
  <si>
    <t>Xem nguồn</t>
  </si>
  <si>
    <t>30.000đ/lượt (từ 1/1/2025); miễn phí ngày 18/5</t>
  </si>
  <si>
    <t>Lưu giữ hơn 70.000 tài liệu, hiện vật</t>
  </si>
  <si>
    <t>https://kinhte.congthuong.vn/apicenter@/print_article&amp;i=368066</t>
  </si>
  <si>
    <t>Báo chí (dẫn Nghị quyết 44/2024/NQ-HĐND)</t>
  </si>
  <si>
    <t>Bảo tàng về lịch sử nghìn năm Thăng Long – Hà Nội, lưu giữ hơn 70.000 tài liệu, hiện vật; tòa nhà kim tự tháp ngược là điểm check-in quen thuộc.</t>
  </si>
  <si>
    <t>Bảo tàng Dân tộc học Việt Nam</t>
  </si>
  <si>
    <t>Văn hóa 54 dân tộc</t>
  </si>
  <si>
    <t>Nguyễn Văn Huyên, Cầu Giấy</t>
  </si>
  <si>
    <t>8:30–17:30, đóng cửa thứ Hai</t>
  </si>
  <si>
    <t>40.000đ</t>
  </si>
  <si>
    <t>Có biểu diễn miễn phí 2 lần/ngày ở khu vườn</t>
  </si>
  <si>
    <t>https://www.vme.org.vn</t>
  </si>
  <si>
    <t>Chính thức</t>
  </si>
  <si>
    <t>Mở cửa năm 1997, giới thiệu văn hóa 54 dân tộc Việt Nam; có khu trưng bày trong nhà, khu nhà truyền thống ngoài trời và tòa Cánh Diều (2013) về văn hóa Đông Nam Á.</t>
  </si>
  <si>
    <t>https://en.wikipedia.org/wiki/Vietnam_Museum_of_Ethnology</t>
  </si>
  <si>
    <t>Wikipedia</t>
  </si>
  <si>
    <t>Bảo tàng Mỹ thuật Việt Nam</t>
  </si>
  <si>
    <t>Mỹ thuật</t>
  </si>
  <si>
    <t>66 Nguyễn Thái Học, Ba Đình</t>
  </si>
  <si>
    <t>8:30–17:00, đóng cửa thứ Hai</t>
  </si>
  <si>
    <t>30.000đ</t>
  </si>
  <si>
    <t>Đối diện Văn Miếu</t>
  </si>
  <si>
    <t>https://vietnam.travel/vi/things-to-do/vietnams-must-see-museums</t>
  </si>
  <si>
    <t>Cục Du lịch QG (trang chính thức ngành)</t>
  </si>
  <si>
    <t>Bảo tàng mỹ thuật quốc gia, nằm đối diện Văn Miếu và cách Hoàng thành khoảng 10 phút đi bộ; tiện ghép lịch tham quan cả cụm.</t>
  </si>
  <si>
    <t>Cục Du lịch Quốc gia</t>
  </si>
  <si>
    <t>Bảo tàng Phụ nữ Việt Nam</t>
  </si>
  <si>
    <t>Văn hóa – xã hội</t>
  </si>
  <si>
    <t>36 Lý Thường Kiệt, Hoàn Kiếm</t>
  </si>
  <si>
    <t>8:00–17:00 hằng ngày</t>
  </si>
  <si>
    <t>Vài phút đi bộ từ Hồ Gươm</t>
  </si>
  <si>
    <t>Kể về vai trò của phụ nữ trong lịch sử và văn hóa Việt Nam; nằm gần Hồ Gươm.</t>
  </si>
  <si>
    <t>Bảo tàng Hồ Chí Minh</t>
  </si>
  <si>
    <t>Lịch sử</t>
  </si>
  <si>
    <t>19 Ngọc Hà, Ba Đình</t>
  </si>
  <si>
    <t>Khách nước ngoài 40.000đ</t>
  </si>
  <si>
    <t>Không gian trưng bày do SV ĐH Mỹ thuật HN thiết kế</t>
  </si>
  <si>
    <t>https://vinwonders.com/vi/wonderpedia/news/bao-tang-binh-chung-thong-tin/</t>
  </si>
  <si>
    <t>Trang du lịch</t>
  </si>
  <si>
    <t>Trưng bày theo hành trình cuộc đời Chủ tịch Hồ Chí Minh; không gian trưng bày chính do sinh viên ĐH Mỹ thuật Hà Nội thiết kế.</t>
  </si>
  <si>
    <t>Bảo tàng Thiên nhiên Việt Nam</t>
  </si>
  <si>
    <t>Thiên nhiên</t>
  </si>
  <si>
    <t>18 Hoàng Quốc Việt</t>
  </si>
  <si>
    <t>8:00–17:00</t>
  </si>
  <si>
    <t>Phù hợp trẻ em</t>
  </si>
  <si>
    <t>Bảo tàng về thế giới tự nhiên Việt Nam, thường được gợi ý cho gia đình có trẻ nhỏ.</t>
  </si>
  <si>
    <t>https://vinwonders.com/vi/wonderpedia/news/bao-tang-o-ha-noi/</t>
  </si>
  <si>
    <t>Bảo tàng Phòng không – Không quân</t>
  </si>
  <si>
    <t>Quân sự</t>
  </si>
  <si>
    <t>171 Trường Chinh, Kim Liên</t>
  </si>
  <si>
    <t>8:00–11:30, 13:00–16:30</t>
  </si>
  <si>
    <t>Bảo tàng quân sự về lực lượng phòng không – không quân, có khu trưng bày khí tài ngoài trời; vào cửa miễn phí.</t>
  </si>
  <si>
    <t>Bảo tàng Binh chủng Thông tin</t>
  </si>
  <si>
    <t>1 Giang Văn Minh, Ba Đình</t>
  </si>
  <si>
    <t>Bảo tàng quân sự về lịch sử ngành thông tin liên lạc trong quân đội, trực thuộc Cục Chính trị.</t>
  </si>
  <si>
    <t>https://vinpearl.com/vi/danh-sach-20-bao-tang-o-ha-noi-noi-tieng-thu-hut-du-khach</t>
  </si>
  <si>
    <t>Bảo tàng gốm Bát Tràng (Trung tâm Tinh hoa Làng nghề Việt)</t>
  </si>
  <si>
    <t>Làng nghề – gốm</t>
  </si>
  <si>
    <t>Số 28, thôn 5, Bát Tràng</t>
  </si>
  <si>
    <t>Kiến trúc độc đáo, có khu trải nghiệm làm gốm</t>
  </si>
  <si>
    <t>Công trình kiến trúc độc đáo giữa làng gốm Bát Tràng, vừa trưng bày gốm vừa có khu trải nghiệm làm gốm.</t>
  </si>
  <si>
    <t>Bảo tàng Tăng Thiết giáp</t>
  </si>
  <si>
    <t>Trực thuộc Cục Chính trị</t>
  </si>
  <si>
    <t>Cần kiểm tra: nguồn chưa nêu địa chỉ</t>
  </si>
  <si>
    <t>Bảo tàng quân sự về binh chủng tăng – thiết giáp, trực thuộc Cục Chính trị QĐND Việt Nam.</t>
  </si>
  <si>
    <t>Bảo tàng Công binh</t>
  </si>
  <si>
    <t>Bảo tàng quân sự về binh chủng công binh, miễn phí tham quan.</t>
  </si>
  <si>
    <t>Bảo tàng Lịch sử Quốc gia</t>
  </si>
  <si>
    <t>1 Tràng Tiền &amp; 216 Trần Quang Khải, Hoàn Kiếm</t>
  </si>
  <si>
    <t>Thông tin theo hiểu biết chung</t>
  </si>
  <si>
    <t>Cần kiểm tra: chưa tìm được link nguồn</t>
  </si>
  <si>
    <t>Bảo tàng lịch sử lớn nhất cả nước, gồm hai tòa nhà kiến trúc Pháp ở phố Tràng Tiền và Trần Quang Khải.</t>
  </si>
  <si>
    <t>Hiểu biết chung – chưa có link nguồn</t>
  </si>
  <si>
    <t>Di tích Nhà tù Hỏa Lò</t>
  </si>
  <si>
    <t>1 Hỏa Lò, Hoàn Kiếm</t>
  </si>
  <si>
    <t>Nhà tù do Pháp xây cuối thế kỷ 19, nay là di tích kể về lịch sử giam giữ chiến sĩ cách mạng; có tour đêm.</t>
  </si>
  <si>
    <t>Bảo tàng Lịch sử Quân sự Việt Nam</t>
  </si>
  <si>
    <t>Đại lộ Thăng Long</t>
  </si>
  <si>
    <t>Bảo tàng quân sự quy mô lớn mới xây trên Đại lộ Thăng Long, trưng bày nhiều khí tài, hiện vật chiến tranh.</t>
  </si>
  <si>
    <t>Bảo tàng Chiến thắng B52</t>
  </si>
  <si>
    <t>157 Đội Cấn, Ba Đình</t>
  </si>
  <si>
    <t>Trưng bày về chiến dịch phòng không "Hà Nội – Điện Biên Phủ trên không" tháng 12/1972, có xác máy bay B52.</t>
  </si>
  <si>
    <t>Tên di tích</t>
  </si>
  <si>
    <t>Xếp hạng</t>
  </si>
  <si>
    <t>Địa chỉ / khu vực</t>
  </si>
  <si>
    <t>Khu Trung tâm Hoàng thành Thăng Long</t>
  </si>
  <si>
    <t>Di sản Văn hóa Thế giới (UNESCO 2010); QG đặc biệt</t>
  </si>
  <si>
    <t>19C Hoàng Diệu, Ba Đình</t>
  </si>
  <si>
    <t>Đóng cửa thứ Hai (các nguồn ghi giờ khác nhau)</t>
  </si>
  <si>
    <t>Xem web chính thức (các nguồn ghi 30.000đ–100.000đ, không thống nhất)</t>
  </si>
  <si>
    <t>Mua vé điện tử tại vedientu.hoangthanhthanglong.com</t>
  </si>
  <si>
    <t>https://hoangthanhthanglong.com</t>
  </si>
  <si>
    <t>Cần kiểm tra: giờ &amp; giá vé giữa các nguồn không khớp</t>
  </si>
  <si>
    <t>Quần thể di tích kinh đô qua nhiều triều đại, khởi dựng năm 1010 thời Lý; UNESCO công nhận Di sản Thế giới năm 2010; có khu khảo cổ 18 Hoàng Diệu.</t>
  </si>
  <si>
    <t>https://en.wikipedia.org/wiki/Imperial_Citadel_of_Th%C4%83ng_Long</t>
  </si>
  <si>
    <t>Văn Miếu – Quốc Tử Giám</t>
  </si>
  <si>
    <t>QG đặc biệt</t>
  </si>
  <si>
    <t>Đống Đa / Văn Miếu</t>
  </si>
  <si>
    <t>82 bia Tiến sĩ là Di sản tư liệu thế giới</t>
  </si>
  <si>
    <t>https://baovanhoa.vn/di-san/trien-lam-di-tich-quoc-gia-dac-biet-o-ha-noi-59651.html</t>
  </si>
  <si>
    <t>Văn Miếu thờ Khổng Tử dựng năm 1070, Quốc Tử Giám lập năm 1076, được xem là trường đại học đầu tiên của Việt Nam; nổi tiếng với Khuê Văn Các và 82 bia Tiến sĩ.</t>
  </si>
  <si>
    <t>https://en.wikipedia.org/wiki/Temple_of_Literature,_Hanoi</t>
  </si>
  <si>
    <t>Hồ Hoàn Kiếm – đền Ngọc Sơn</t>
  </si>
  <si>
    <t>Hoàn Kiếm</t>
  </si>
  <si>
    <t>Hồ trung tâm gắn với truyền thuyết trả gươm; đền Ngọc Sơn trên đảo Ngọc, đi qua cầu Thê Húc, cổng có Tháp Bút – Đài Nghiên.</t>
  </si>
  <si>
    <t>Hiểu biết chung (link chỉ xác nhận xếp hạng)</t>
  </si>
  <si>
    <t>Đền Phù Đổng</t>
  </si>
  <si>
    <t>Gia Lâm (ngoại thành)</t>
  </si>
  <si>
    <t>Đền thờ Thánh Gióng tại quê hương của Gióng; nơi diễn ra Hội Gióng, di sản văn hóa phi vật thể được UNESCO ghi danh.</t>
  </si>
  <si>
    <t>Đền Sóc Sơn</t>
  </si>
  <si>
    <t>Sóc Sơn (ngoại thành)</t>
  </si>
  <si>
    <t>Đền thờ Thánh Gióng trên núi Vệ Linh, tương truyền là nơi Gióng bay về trời; cũng tổ chức Hội Gióng.</t>
  </si>
  <si>
    <t>Khu di tích Cổ Loa</t>
  </si>
  <si>
    <t>Đông Anh (ngoại thành)</t>
  </si>
  <si>
    <t>Thành cổ hình xoắn ốc, kinh đô nước Âu Lạc của An Dương Vương (thế kỷ 3 TCN), cách trung tâm khoảng 17 km về phía bắc; nhiều di vật văn hóa Đông Sơn.</t>
  </si>
  <si>
    <t>https://en.wikipedia.org/wiki/C%E1%BB%95_Loa_Citadel</t>
  </si>
  <si>
    <t>Chùa Thầy</t>
  </si>
  <si>
    <t>Quốc Oai (ngoại thành)</t>
  </si>
  <si>
    <t>Chùa cổ dưới chân núi Sài Sơn, gắn với Thiền sư Từ Đạo Hạnh; có thủy đình múa rối nước giữa hồ.</t>
  </si>
  <si>
    <t>Chùa Tây Phương</t>
  </si>
  <si>
    <t>Thạch Thất (ngoại thành)</t>
  </si>
  <si>
    <t>Chùa cổ trên đồi, nổi tiếng với bộ tượng La Hán gỗ được xem là kiệt tác điêu khắc.</t>
  </si>
  <si>
    <t>Đình Chèm</t>
  </si>
  <si>
    <t>Bắc Từ Liêm</t>
  </si>
  <si>
    <t>Một trong những ngôi đình cổ nhất Hà Nội, thờ Lý Ông Trọng, nằm ven sông Hồng.</t>
  </si>
  <si>
    <t>Đình Tây Đằng</t>
  </si>
  <si>
    <t>Ba Vì (ngoại thành)</t>
  </si>
  <si>
    <t>Ngôi đình cổ ở Ba Vì, nổi tiếng với nghệ thuật chạm khắc gỗ dân gian.</t>
  </si>
  <si>
    <t>Đền Hát Môn</t>
  </si>
  <si>
    <t>Phúc Thọ (ngoại thành)</t>
  </si>
  <si>
    <t>Đền thờ Hai Bà Trưng ở Phúc Thọ, gắn với lễ tế cờ khởi nghĩa của Hai Bà.</t>
  </si>
  <si>
    <t>Đền Hai Bà Trưng (Mê Linh)</t>
  </si>
  <si>
    <t>Mê Linh (ngoại thành)</t>
  </si>
  <si>
    <t>Đền thờ Hai Bà Trưng tại quê hương Mê Linh của Hai Bà.</t>
  </si>
  <si>
    <t>Quần thể danh thắng Hương Sơn (chùa Hương)</t>
  </si>
  <si>
    <t>Mỹ Đức (ngoại thành)</t>
  </si>
  <si>
    <t>Quần thể chùa động trong núi cách trung tâm khoảng 60 km, một trong những điểm hành hương đông nhất dịp đầu năm.</t>
  </si>
  <si>
    <t>https://www.vietnammonpaysnatal.fr/pagoda-of-vietnam-va-part-2/</t>
  </si>
  <si>
    <t>Trang văn hóa – du lịch</t>
  </si>
  <si>
    <t>Đình Tường Phiêu</t>
  </si>
  <si>
    <t>Xếp hạng sau năm 2018</t>
  </si>
  <si>
    <t>Ngôi đình cổ ở Phúc Thọ, được nâng hạng di tích quốc gia đặc biệt.</t>
  </si>
  <si>
    <t>Cửa Bắc (Chính Bắc Môn)</t>
  </si>
  <si>
    <t>Thuộc hệ thống thành Hà Nội xưa</t>
  </si>
  <si>
    <t>46 Phan Đình Phùng, Ba Đình</t>
  </si>
  <si>
    <t>Tự do 24/7</t>
  </si>
  <si>
    <t>Còn dấu đạn pháo năm 1882</t>
  </si>
  <si>
    <t>https://www.vietnamairlines.com/at/vi/plan-book/travel/travel-guide/di-tich-lich-su-o-ha-noi</t>
  </si>
  <si>
    <t>Một trong năm cổng của thành Hà Nội xưa còn sót lại, tham quan tự do.</t>
  </si>
  <si>
    <t>Chùa Trấn Quốc</t>
  </si>
  <si>
    <t>Di tích</t>
  </si>
  <si>
    <t>46 Thanh Niên, Tây Hồ</t>
  </si>
  <si>
    <t>8:00–16:00 (ngày rằm, mùng 1: 6:00–18:00)</t>
  </si>
  <si>
    <t>Ngôi chùa cổ bên Hồ Tây, nổi bật với bảo tháp nhiều tầng; điểm ngắm hoàng hôn quen thuộc.</t>
  </si>
  <si>
    <t>Hội quán Quảng Đông – 22 Hàng Buồm</t>
  </si>
  <si>
    <t>Di tích kiến trúc nghệ thuật QG</t>
  </si>
  <si>
    <t>22 Hàng Buồm, Hoàn Kiếm</t>
  </si>
  <si>
    <t>20.000đ/lượt (từ 1/1/2025)</t>
  </si>
  <si>
    <t>Nay là Trung tâm Văn hóa Nghệ thuật, hay có triển lãm &amp; biểu diễn</t>
  </si>
  <si>
    <t>Hội quán của người Hoa gốc Quảng Đông, di tích kiến trúc nghệ thuật quốc gia từ 2007; nay thường tổ chức triển lãm, biểu diễn.</t>
  </si>
  <si>
    <t>Ngôi nhà di sản 87 Mã Mây</t>
  </si>
  <si>
    <t>Di tích phố cổ</t>
  </si>
  <si>
    <t>87 Mã Mây, Hoàn Kiếm</t>
  </si>
  <si>
    <t>Ngôi nhà cổ ống điển hình của phố cổ được bảo tồn, giúp hình dung nếp sống Hà Nội xưa.</t>
  </si>
  <si>
    <t>Tên quán</t>
  </si>
  <si>
    <t>Phong cách nhạc</t>
  </si>
  <si>
    <t>Khu vực</t>
  </si>
  <si>
    <t>Lịch nhạc / ghi chú</t>
  </si>
  <si>
    <t>G4U Acoustic Cafe</t>
  </si>
  <si>
    <t>Acoustic</t>
  </si>
  <si>
    <t>29 Nguyễn Khang</t>
  </si>
  <si>
    <t>Cầu Giấy</t>
  </si>
  <si>
    <t>Nhạc sống buổi tối; khu Nguyễn Khang có nhiều quán nhạc sống</t>
  </si>
  <si>
    <t>https://www.foody.vn/ha-noi/g4u-acoustic-cafe</t>
  </si>
  <si>
    <t>Trang review</t>
  </si>
  <si>
    <t>Quán acoustic trên phố Nguyễn Khang, nơi tập trung nhiều quán nhạc sống; buổi tối đông khách, giá đồ uống khá cao.</t>
  </si>
  <si>
    <t>Trịnh Ca Café</t>
  </si>
  <si>
    <t>Nhạc Trịnh</t>
  </si>
  <si>
    <t>Ngõ 233 Tô Hiệu</t>
  </si>
  <si>
    <t>Không gian hoài cổ</t>
  </si>
  <si>
    <t>https://vinpearl.com/vi/quan-cafe-nhac-song-ha-noi</t>
  </si>
  <si>
    <t>Quán chuyên nhạc Trịnh, không gian hoài cổ.</t>
  </si>
  <si>
    <t>Xóm Cà Phê</t>
  </si>
  <si>
    <t>Nhạc Trịnh, acoustic</t>
  </si>
  <si>
    <t>111C8 Tô Hiệu (Cầu Giấy) &amp; N6E Trung Hòa (Thanh Xuân)</t>
  </si>
  <si>
    <t>Cầu Giấy / Thanh Xuân</t>
  </si>
  <si>
    <t>Đêm nhạc tối thứ Sáu, thứ Bảy</t>
  </si>
  <si>
    <t>Quán cà phê không gian cổ, có đêm nhạc Trịnh và acoustic cuối tuần.</t>
  </si>
  <si>
    <t>Swing Music Lounge</t>
  </si>
  <si>
    <t>Lounge, acoustic</t>
  </si>
  <si>
    <t>21 Tràng Tiền</t>
  </si>
  <si>
    <t>https://mytour.vn/vi/blog/bai-viet/10-quan-cafe-acoustic-hang-dau-tai-ha-noi-khong-the-bo-lo.html</t>
  </si>
  <si>
    <t>Cần kiểm tra: số tầng giữa các nguồn khác nhau</t>
  </si>
  <si>
    <t>Lounge nhạc sống ngay trung tâm, nổi bật về thiết kế kiến trúc.</t>
  </si>
  <si>
    <t>Ấy Lounge</t>
  </si>
  <si>
    <t>Cà phê nhạc sống</t>
  </si>
  <si>
    <t>63 Hàng Bún</t>
  </si>
  <si>
    <t>Ba Đình</t>
  </si>
  <si>
    <t>Một trong những quán đầu tiên kết hợp cà phê + nhạc sống</t>
  </si>
  <si>
    <t>Một trong những quán đầu tiên ở Hà Nội làm mô hình cà phê kết hợp nhạc sống.</t>
  </si>
  <si>
    <t>Trixie Cafe &amp; Lounge</t>
  </si>
  <si>
    <t>Phòng trà</t>
  </si>
  <si>
    <t>165 Thái Hà</t>
  </si>
  <si>
    <t>Đống Đa</t>
  </si>
  <si>
    <t>Phòng trà – cà phê nhạc sống theo phong cách sang trọng.</t>
  </si>
  <si>
    <t>Acoustic Cafe 236 Hàng Bông</t>
  </si>
  <si>
    <t>236 Hàng Bông</t>
  </si>
  <si>
    <t>Phố cổ</t>
  </si>
  <si>
    <t>Quán nhạc sống acoustic ngay khu phố cổ.</t>
  </si>
  <si>
    <t>Polygon Musik</t>
  </si>
  <si>
    <t>36 Cát Linh</t>
  </si>
  <si>
    <t>https://vinwonders.com/vi/wonderpedia/news/cafe-nhac-song-ha-noi/</t>
  </si>
  <si>
    <t>Quán cà phê nhạc sống có phong cách khá độc đáo trên phố Cát Linh.</t>
  </si>
  <si>
    <t>Giang Coffee (chi nhánh Hà Đông)</t>
  </si>
  <si>
    <t>119B Trần Phú</t>
  </si>
  <si>
    <t>Hà Đông</t>
  </si>
  <si>
    <t>https://www.toplist.vn/top-list/quan-cafe-nhac-acoustic-o-ha-dong-ha-noi-41374.htm</t>
  </si>
  <si>
    <t>Trang tổng hợp</t>
  </si>
  <si>
    <t>Chi nhánh của thương hiệu cà phê trứng lâu đời, có nhạc acoustic.</t>
  </si>
  <si>
    <t>Cà phê Cúc Cu</t>
  </si>
  <si>
    <t>B4-BT1 KĐT Văn Quán</t>
  </si>
  <si>
    <t>Fanpage: facebook.com/CucCuHoiAn</t>
  </si>
  <si>
    <t>Quán acoustic ở khu đô thị Văn Quán, được giới trẻ Hà Đông ưa chuộng.</t>
  </si>
  <si>
    <t>Nhạc sống</t>
  </si>
  <si>
    <t>Biệt thự B06, KĐT Nam Cường</t>
  </si>
  <si>
    <t>https://www.facebook.com/atclivemusic/</t>
  </si>
  <si>
    <t>Fanpage</t>
  </si>
  <si>
    <t>Cần kiểm tra: tên quán suy từ fanpage</t>
  </si>
  <si>
    <t>Điểm nhạc sống trong biệt thự ở KĐT Nam Cường.</t>
  </si>
  <si>
    <t>Acoustic Coffee</t>
  </si>
  <si>
    <t>C40 ngõ 54 Nguyễn Khuyến</t>
  </si>
  <si>
    <t>Quán nhỏ ấm cúng kết hợp cà phê và nhạc acoustic.</t>
  </si>
  <si>
    <t>Kuku Acoustic Coffee</t>
  </si>
  <si>
    <t>Khu A8 Tôn Thất Tùng</t>
  </si>
  <si>
    <t>Tông đen trắng, quán nhỏ</t>
  </si>
  <si>
    <t>https://znews.vn/5-quan-ca-phe-nhac-song-duoc-yeu-thich-o-ha-noi-post737418.html</t>
  </si>
  <si>
    <t>Quán nhỏ tông đen trắng trong khu tập thể A8 Tôn Thất Tùng.</t>
  </si>
  <si>
    <t>Cà phê Cuối Ngõ</t>
  </si>
  <si>
    <t>Nhạc sống, trà</t>
  </si>
  <si>
    <t>Ngõ 68 Cầu Giấy</t>
  </si>
  <si>
    <t>Quán trong ngõ sâu, vừa uống trà vừa nghe nhạc sống.</t>
  </si>
  <si>
    <t>Tên</t>
  </si>
  <si>
    <t>Loại workshop</t>
  </si>
  <si>
    <t>Lịch / ghi chú</t>
  </si>
  <si>
    <t>Gốm Chi</t>
  </si>
  <si>
    <t>Làm gốm</t>
  </si>
  <si>
    <t>43 Vạn Kiếp</t>
  </si>
  <si>
    <t>Được nhiều bạn trẻ chọn cuối tuần</t>
  </si>
  <si>
    <t>https://vinwonders.com/vi/wonderpedia/news/workshop-lam-gom-ha-noi/</t>
  </si>
  <si>
    <t>Xưởng nặn gốm được giới trẻ chọn làm điểm vui chơi cuối tuần.</t>
  </si>
  <si>
    <t>Puppets Studio</t>
  </si>
  <si>
    <t>1/1/61 Tây Sơn</t>
  </si>
  <si>
    <t>Lớp học &amp; workshop thường xuyên</t>
  </si>
  <si>
    <t>Studio gốm có lớp học và workshop thường xuyên, không gian yên tĩnh.</t>
  </si>
  <si>
    <t>Trung tâm Tinh hoa Làng nghề Việt (Bát Tràng)</t>
  </si>
  <si>
    <t>Tầng G, số 28 thôn 5, Bát Tràng</t>
  </si>
  <si>
    <t>Tổ hợp trưng bày và trải nghiệm làm gốm ngay trong làng Bát Tràng.</t>
  </si>
  <si>
    <t>https://vinwonders.com/?p=72416</t>
  </si>
  <si>
    <t>Tipsy Art</t>
  </si>
  <si>
    <t>Vẽ tranh</t>
  </si>
  <si>
    <t>Cuối tuần 9:00–12:00 &amp; 14:00–17:00</t>
  </si>
  <si>
    <t>https://vinpearl.com/vi/workshop-ve-tranh-ha-noi</t>
  </si>
  <si>
    <t>Workshop vẽ tranh dành cho người mới, mở các ca sáng và chiều cuối tuần.</t>
  </si>
  <si>
    <t>https://vinwonders.com/?p=76241</t>
  </si>
  <si>
    <t>Cheapie Coffee &amp; Art</t>
  </si>
  <si>
    <t>Workshop hằng tuần theo chủ đề</t>
  </si>
  <si>
    <t>Tiệm cà phê kiêm không gian vẽ tranh, workshop hằng tuần theo chủ đề.</t>
  </si>
  <si>
    <t>OUR.Hanoi</t>
  </si>
  <si>
    <t>Không gian tổ chức các workshop vẽ tranh.</t>
  </si>
  <si>
    <t>Thekandle</t>
  </si>
  <si>
    <t>Làm nến thơm</t>
  </si>
  <si>
    <t>Tầng 2, 21 Hàng Bún</t>
  </si>
  <si>
    <t>https://vinwonders.com/vi/wonderpedia/news/workshop-lam-nen-thom-ha-noi/</t>
  </si>
  <si>
    <t>Workshop làm nến thơm theo hướng nghệ thuật ở phố cổ.</t>
  </si>
  <si>
    <t>Ribbon Florist</t>
  </si>
  <si>
    <t>Cắm hoa</t>
  </si>
  <si>
    <t>6 Lý Đạo Thành</t>
  </si>
  <si>
    <t>Không phải tuần nào cũng mở lớp</t>
  </si>
  <si>
    <t>https://vinwonders.com/?p=73751</t>
  </si>
  <si>
    <t>Tiệm hoa có workshop cắm hoa theo nhiều chủ đề.</t>
  </si>
  <si>
    <t>Chi nhánh / địa chỉ</t>
  </si>
  <si>
    <t>Photo Time</t>
  </si>
  <si>
    <t>99 Chùa Láng</t>
  </si>
  <si>
    <t>https://www.finhay.com.vn/chup-photobooth-o-dau-ha-noi-dep</t>
  </si>
  <si>
    <t>Chuỗi photobooth được đánh giá cao về chất lượng ảnh.</t>
  </si>
  <si>
    <t>241 Xuân Thủy</t>
  </si>
  <si>
    <t>Finhay Photobooth</t>
  </si>
  <si>
    <t>8 Nhà Chung</t>
  </si>
  <si>
    <t>Chính thức (trang của Finhay)</t>
  </si>
  <si>
    <t>Chương trình photobooth chụp miễn phí do Finhay tổ chức.</t>
  </si>
  <si>
    <t>27 Chùa Bộc</t>
  </si>
  <si>
    <t>47 Nhật Chiêu</t>
  </si>
  <si>
    <t>Tây Hồ</t>
  </si>
  <si>
    <t>6 Dương Khuê</t>
  </si>
  <si>
    <t>Photobooth Một Hai Ba</t>
  </si>
  <si>
    <t>64A Trần Quốc Toản</t>
  </si>
  <si>
    <t>Concept Vivid</t>
  </si>
  <si>
    <t>Chuỗi photobooth với hai concept Vivid và Neutral.</t>
  </si>
  <si>
    <t>171 Trích Sài</t>
  </si>
  <si>
    <t>1 Mạc Đĩnh Chi</t>
  </si>
  <si>
    <t>Concept Neutral</t>
  </si>
  <si>
    <t>Photoism</t>
  </si>
  <si>
    <t>83 Xuân Thủy</t>
  </si>
  <si>
    <t>Chuỗi photobooth chuẩn Hàn</t>
  </si>
  <si>
    <t>https://www.vietnamairlines.com/at/vi/plan-book/travel/travel-guide/photobooth-ha-noi</t>
  </si>
  <si>
    <t>Chuỗi photobooth chuẩn Hàn Quốc, ảnh sắc nét, nhiều phông nền.</t>
  </si>
  <si>
    <t>Pose Photo</t>
  </si>
  <si>
    <t>33 ngõ 49 Huỳnh Thúc Kháng</t>
  </si>
  <si>
    <t>Phong cách Hàn, tông hồng</t>
  </si>
  <si>
    <t>https://mia.vn/cam-nang-du-lich/photobooth-ha-noi-cuc-hot-19165</t>
  </si>
  <si>
    <t>Photobooth phong cách Hàn, tông hồng ngọt ngào, nằm trong ngõ nhỏ.</t>
  </si>
  <si>
    <t>Photo Story</t>
  </si>
  <si>
    <t>128 Chùa Láng</t>
  </si>
  <si>
    <t>Photobooth quen thuộc với giới trẻ trên phố Chùa Láng.</t>
  </si>
  <si>
    <t>Life4cuts &amp; Photo Story (cụm Đặng Văn Ngữ)</t>
  </si>
  <si>
    <t>Phố Đặng Văn Ngữ</t>
  </si>
  <si>
    <t>Mở cửa đến khoảng 22h</t>
  </si>
  <si>
    <t>https://www.greensm.com/vn-vi/news/photobooth-dang-van-ngu-ha-noi</t>
  </si>
  <si>
    <t>Cần kiểm tra: nguồn chưa ghi số nhà</t>
  </si>
  <si>
    <t>Cụm photobooth phong cách tươi trẻ, phù hợp nhóm dưới 6 người.</t>
  </si>
  <si>
    <t>Tên địa điểm</t>
  </si>
  <si>
    <t>Loại</t>
  </si>
  <si>
    <t>Hoạt động tiêu biểu</t>
  </si>
  <si>
    <t>Nhà hát (hòa nhạc, opera)</t>
  </si>
  <si>
    <t>Hòa nhạc giao hưởng, opera; bán vé online</t>
  </si>
  <si>
    <t>Nhà hát mới ở trung tâm, chuyên giao hưởng, opera và đang mở rộng thành điểm đến văn hóa đa trải nghiệm.</t>
  </si>
  <si>
    <t>Nhà hát Múa rối Thăng Long</t>
  </si>
  <si>
    <t>Múa rối nước</t>
  </si>
  <si>
    <t>57B Đinh Tiên Hoàng, Hoàn Kiếm</t>
  </si>
  <si>
    <t>Diễn 365 ngày/năm, nhiều suất mỗi ngày</t>
  </si>
  <si>
    <t>https://www.vietnamtourism.com/vi/nha-hat-mua-roi-nuoc-thang-long-o-ha-noi-gio-dien-ve-va-thoi</t>
  </si>
  <si>
    <t>Thành lập năm 1969, cạnh Hồ Gươm; được ghi nhận là nhà hát diễn múa rối nước 365 ngày/năm.</t>
  </si>
  <si>
    <t>Nhà hát Lớn Hà Nội &amp; Vườn âm nhạc</t>
  </si>
  <si>
    <t>Nhà hát</t>
  </si>
  <si>
    <t>Nơi tổ chức đêm khai mạc Jazztival 2026</t>
  </si>
  <si>
    <t>Nhà hát kiến trúc Pháp xây 1901–1911, biểu tượng văn hóa của Thủ đô.</t>
  </si>
  <si>
    <t>https://www.vietnamplus.vn/infographics-nha-hat-lon-thanh-pho-ha-noi-diem-hen-van-hoa-post329834.vnp</t>
  </si>
  <si>
    <t>Nhà hát Ca Múa Nhạc Thăng Long</t>
  </si>
  <si>
    <t>Chương trình du lịch "Chuyện Hà Nội – Một ngày rất Hà Nội"</t>
  </si>
  <si>
    <t>Đơn vị nghệ thuật của Hà Nội, thực hiện Jazztival 2026 và show du lịch "Chuyện Hà Nội".</t>
  </si>
  <si>
    <t>Trung tâm Văn hóa Nghệ thuật 22 Hàng Buồm</t>
  </si>
  <si>
    <t>Không gian di sản – biểu diễn</t>
  </si>
  <si>
    <t>"Jazz và Di sản", triển lãm</t>
  </si>
  <si>
    <t>https://baoquocte.vn/jazz-ha-noi-giai-dieu-khong-bien-gioi-430625.html</t>
  </si>
  <si>
    <t>Hội quán Quảng Đông cũ, nay là không gian triển lãm và biểu diễn giữa phố cổ.</t>
  </si>
  <si>
    <t>Hội trường biểu diễn</t>
  </si>
  <si>
    <t>Musique de Salon, Liên hoan Sân khấu</t>
  </si>
  <si>
    <t>Rạp Công Nhân, rạp Đại Nam, rạp Hồng Hà</t>
  </si>
  <si>
    <t>Rạp kịch</t>
  </si>
  <si>
    <t>Sân khấu chính của Liên hoan Sân khấu HN mở rộng</t>
  </si>
  <si>
    <t>Hãng Phim tài liệu và khoa học Trung ương</t>
  </si>
  <si>
    <t>Chiếu phim</t>
  </si>
  <si>
    <t>465 Hoàng Hoa Thám</t>
  </si>
  <si>
    <t>Liên hoan phim tài liệu châu Âu – Việt Nam</t>
  </si>
  <si>
    <t>Sân vận động Quốc gia Mỹ Đình</t>
  </si>
  <si>
    <t>Sân vận động</t>
  </si>
  <si>
    <t>Nam Từ Liêm</t>
  </si>
  <si>
    <t>Concert quy mô lớn (BIGBANG 24–25/10/2026)</t>
  </si>
  <si>
    <t>Nguồn</t>
  </si>
  <si>
    <t>Dùng để</t>
  </si>
  <si>
    <t>Link</t>
  </si>
  <si>
    <t>Ticketgo</t>
  </si>
  <si>
    <t>Lịch concert, hòa nhạc, kịch &amp; mua vé</t>
  </si>
  <si>
    <t>Vticket</t>
  </si>
  <si>
    <t>Lịch hòa nhạc, liveshow &amp; mua vé</t>
  </si>
  <si>
    <t>Ticketbox</t>
  </si>
  <si>
    <t>Concert, EDM, show lớn</t>
  </si>
  <si>
    <t>https://ticketbox.vn/</t>
  </si>
  <si>
    <t>Lịch diễn giao hưởng, opera</t>
  </si>
  <si>
    <t>Thông tin &amp; vé điện tử</t>
  </si>
  <si>
    <t>Bảo tàng Dân tộc học</t>
  </si>
  <si>
    <t>Triển lãm, sự kiện</t>
  </si>
  <si>
    <t>Kế hoạch Lễ hội TKST Hà Nội 2026 (UBND TP)</t>
  </si>
  <si>
    <t>Văn bản gốc khung lễ hội</t>
  </si>
  <si>
    <t>https://datafiles.hanoi.gov.vn/gov-hni/6249/VanBan/2025/12/10/KH-333-2025.pdf</t>
  </si>
  <si>
    <t>Chính thức (văn bản nhà nước)</t>
  </si>
  <si>
    <t>Mạng lưới 82 không gian văn hóa sáng tạo Hà Nội</t>
  </si>
  <si>
    <t>Triển lãm, workshop nhỏ</t>
  </si>
  <si>
    <t>https://www.sggp.org.vn/cong-bo-le-hoi-thiet-ke-sang-tao-ha-noi-2026-post827969.html</t>
  </si>
  <si>
    <t>Danh mục di tích &amp; di sản Hà Nội</t>
  </si>
  <si>
    <t>Số liệu di tích, làng nghề</t>
  </si>
  <si>
    <t>https://tapchicongthuong.vn/ha-noi--cong-bo-danh-muc-di-tich--di-san-can-duoc-bao-ve-va-phat-huy-gia-tri-140406.htm</t>
  </si>
  <si>
    <t>Nhà hát Tuổi Trẻ (Số 11 Ngô Thì Nhậm, Hai Bà Trưng, Hà Nội)</t>
  </si>
  <si>
    <t>300.000 VNĐ/vé (tùy vị trí ghế)</t>
  </si>
  <si>
    <t>KĐT Phú Long - Bình Trưng Và The Global City (Đỗ Xuân Hợp, Phường Bình Trưng, TP. Hồ Chí Minh)</t>
  </si>
  <si>
    <t xml:space="preserve">Chủ Nhật	Đóng cửa
Thứ Hai	Đóng cửa
Thứ Ba	07:30–11:00, 13:30–16:00
Thứ Tư	07:30–11:00, 13:30–16:00
Thứ Năm	07:30–11:00, 13:30–16:00
Thứ Sáu	07:30–11:00, 13:30–16:00
</t>
  </si>
  <si>
    <t>Giờ mở cửa: 08:00 – 17:00 tất cả các ngày trong tuần (kể cả lễ, Tết). [1]</t>
  </si>
  <si>
    <r>
      <t>Giá vé tiêu chuẩn:</t>
    </r>
    <r>
      <rPr>
        <sz val="10"/>
        <color theme="1"/>
        <rFont val="Arial"/>
        <family val="2"/>
      </rPr>
      <t xml:space="preserve"> 40.000 đồng/người/lượt.</t>
    </r>
  </si>
  <si>
    <r>
      <t>Miễn phí vé:</t>
    </r>
    <r>
      <rPr>
        <sz val="10"/>
        <color theme="1"/>
        <rFont val="Arial"/>
        <family val="2"/>
      </rPr>
      <t xml:space="preserve"> Trẻ em dưới 16 tuổi, người từ 80 tuổi trở lên, thương binh, bệnh binh, người có công với cách mạng, Mẹ Việt Nam Anh hùng, Anh hùng Lực lượng vũ trang nhân dân, quân nhân và cựu chiến binh.</t>
    </r>
  </si>
  <si>
    <r>
      <t>Giảm 50% giá vé:</t>
    </r>
    <r>
      <rPr>
        <sz val="10"/>
        <color theme="1"/>
        <rFont val="Arial"/>
        <family val="2"/>
      </rPr>
      <t xml:space="preserve"> Học sinh, sinh viên từ đủ 16 tuổi trở lên, người cao tuổi từ 60 đến dưới 80 tuổi, người khuyết tật nặng. [1, 2, 3]</t>
    </r>
  </si>
  <si>
    <t>08:00 – 16:30</t>
  </si>
  <si>
    <t>tạm thời đóng cửa</t>
  </si>
  <si>
    <t>ATC Coffee Music</t>
  </si>
  <si>
    <t>Địa điểm check-in đẹp</t>
  </si>
  <si>
    <t>Quán có menu đa dạng cùng nhiều loại đồ uống hấp dẫn. Hệ thống âm thanh được đầu tư chỉn chu, sân khấu hiện đại, ánh sáng tốt, mang tới những màn biểu diễn ấn tượng cho khách hàng.</t>
  </si>
  <si>
    <t>6B Nguyễn Cảnh Chân, Phường Cầu Ông Lãnh, TP.HCM</t>
  </si>
  <si>
    <t>Tầng 4 - Lotte Mall West Lake -683 Lạc Long Quân</t>
  </si>
  <si>
    <t>Note</t>
  </si>
  <si>
    <t>chú ý liên hệ trước khi đến</t>
  </si>
  <si>
    <t>Sđt liên hệ</t>
  </si>
  <si>
    <t>0868 334 331</t>
  </si>
  <si>
    <t>84 96 9755323</t>
  </si>
  <si>
    <t>292 Bạch Đằng, Hanoi, Vietnam</t>
  </si>
  <si>
    <t>Từ ngày 04/08/2026 đến hết ngày 31/12/2026, hoặc đến khi hết số lượng quà tặng được phân bổ, tùy thời điểm nào đến trước.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</si>
</sst>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3">
    <font>
      <sz val="11"/>
      <color theme="1"/>
      <name val="Calibri"/>
      <family val="2"/>
      <charset val="1"/>
    </font>
    <font>
      <b/>
      <sz val="14"/>
      <color rgb="FF1F3864"/>
      <name val="Arial"/>
      <charset val="1"/>
    </font>
    <font>
      <sz val="10"/>
      <name val="Arial"/>
      <charset val="1"/>
    </font>
    <font>
      <b/>
      <sz val="10"/>
      <color rgb="FFFFFFFF"/>
      <name val="Arial"/>
      <charset val="1"/>
    </font>
    <font>
      <b/>
      <sz val="10"/>
      <name val="Arial"/>
      <charset val="1"/>
    </font>
    <font>
      <u/>
      <sz val="10"/>
      <color rgb="FF0563C1"/>
      <name val="Arial"/>
      <charset val="1"/>
    </font>
    <font>
      <u/>
      <sz val="11"/>
      <color theme="10"/>
      <name val="Calibri"/>
      <family val="2"/>
      <charset val="1"/>
    </font>
    <font>
      <sz val="10"/>
      <color theme="1"/>
      <name val="Arial"/>
      <family val="2"/>
    </font>
    <font>
      <b/>
      <sz val="10"/>
      <color theme="1"/>
      <name val="Arial"/>
      <family val="2"/>
    </font>
    <font>
      <sz val="10"/>
      <name val="Arial"/>
      <family val="2"/>
    </font>
    <font>
      <sz val="9"/>
      <color rgb="FF080809"/>
      <name val="Segoe UI Historic"/>
      <family val="2"/>
    </font>
    <font>
      <b/>
      <sz val="10"/>
      <color rgb="FFFFFFFF"/>
      <name val="Arial"/>
      <family val="2"/>
    </font>
    <font>
      <sz val="10"/>
      <color rgb="FF333333"/>
      <name val="Inter"/>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0" fontId="6" fillId="0" borderId="0" applyNumberFormat="0" applyFill="0" applyBorder="0" applyAlignment="0" applyProtection="0"/>
  </cellStyleXfs>
  <cellXfs count="23">
    <xf numFmtId="0" fontId="0" fillId="0" borderId="0" xfId="0"/>
    <xf numFmtId="0" fontId="1" fillId="0" borderId="0" xfId="0" applyFont="1"/>
    <xf numFmtId="0" fontId="2" fillId="0" borderId="0" xfId="0" applyFont="1"/>
    <xf numFmtId="0" fontId="3" fillId="2" borderId="1" xfId="0" applyFont="1" applyFill="1" applyBorder="1"/>
    <xf numFmtId="0" fontId="2" fillId="0" borderId="1" xfId="0" applyFont="1" applyBorder="1"/>
    <xf numFmtId="0" fontId="4" fillId="0" borderId="1" xfId="0" applyFont="1" applyBorder="1"/>
    <xf numFmtId="0" fontId="4" fillId="0" borderId="0" xfId="0" applyFont="1"/>
    <xf numFmtId="0" fontId="3" fillId="2" borderId="1" xfId="0" applyFont="1" applyFill="1" applyBorder="1" applyAlignment="1">
      <alignment vertical="center" wrapText="1"/>
    </xf>
    <xf numFmtId="0" fontId="2" fillId="0" borderId="1" xfId="0" applyFont="1" applyBorder="1" applyAlignment="1">
      <alignment vertical="top" wrapText="1"/>
    </xf>
    <xf numFmtId="164" fontId="2" fillId="0" borderId="1" xfId="0" applyNumberFormat="1" applyFont="1" applyBorder="1" applyAlignment="1">
      <alignment vertical="top" wrapText="1"/>
    </xf>
    <xf numFmtId="0" fontId="5" fillId="0" borderId="1" xfId="0" applyFont="1" applyBorder="1" applyAlignment="1">
      <alignment vertical="top" wrapText="1"/>
    </xf>
    <xf numFmtId="0" fontId="2" fillId="3" borderId="1" xfId="0" applyFont="1" applyFill="1" applyBorder="1" applyAlignment="1">
      <alignment vertical="top" wrapText="1"/>
    </xf>
    <xf numFmtId="164" fontId="2" fillId="3" borderId="1" xfId="0" applyNumberFormat="1" applyFont="1" applyFill="1" applyBorder="1" applyAlignment="1">
      <alignment vertical="top" wrapText="1"/>
    </xf>
    <xf numFmtId="0" fontId="5" fillId="3" borderId="1" xfId="0" applyFont="1" applyFill="1" applyBorder="1" applyAlignment="1">
      <alignment vertical="top" wrapText="1"/>
    </xf>
    <xf numFmtId="0" fontId="8" fillId="0" borderId="0" xfId="0" applyFont="1" applyAlignment="1">
      <alignment horizontal="left" vertical="center" indent="1"/>
    </xf>
    <xf numFmtId="0" fontId="6" fillId="0" borderId="0" xfId="1" applyAlignment="1">
      <alignment horizontal="left" vertical="center" indent="1"/>
    </xf>
    <xf numFmtId="0" fontId="9" fillId="3" borderId="1" xfId="0" applyFont="1" applyFill="1" applyBorder="1" applyAlignment="1">
      <alignment vertical="top" wrapText="1"/>
    </xf>
    <xf numFmtId="0" fontId="10" fillId="0" borderId="0" xfId="0" applyFont="1"/>
    <xf numFmtId="0" fontId="11" fillId="2" borderId="2" xfId="0" applyFont="1" applyFill="1" applyBorder="1" applyAlignment="1">
      <alignment vertical="center" wrapText="1"/>
    </xf>
    <xf numFmtId="0" fontId="9" fillId="0" borderId="2" xfId="0" applyFont="1" applyFill="1" applyBorder="1" applyAlignment="1">
      <alignment vertical="top" wrapText="1"/>
    </xf>
    <xf numFmtId="0" fontId="6" fillId="0" borderId="0" xfId="1"/>
    <xf numFmtId="0" fontId="9" fillId="0" borderId="1" xfId="0" applyFont="1" applyBorder="1" applyAlignment="1">
      <alignment vertical="top" wrapText="1"/>
    </xf>
    <xf numFmtId="0" fontId="12"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ticketgo.vn/" TargetMode="External"/><Relationship Id="rId13" Type="http://schemas.openxmlformats.org/officeDocument/2006/relationships/hyperlink" Target="https://thoibaotaichinhvietnam.vn/nhieu-phim-viet-se-duoc-chieu-tai-lien-hoan-phim-quoc-te-ha-noi-71410.html" TargetMode="External"/><Relationship Id="rId18" Type="http://schemas.openxmlformats.org/officeDocument/2006/relationships/hyperlink" Target="https://mekongasean.vn/14-tac-pham-trong-nuoc-tham-gia-lien-hoan-phim-tai-lieu-chau-au-viet-nam-2026-59631.html" TargetMode="External"/><Relationship Id="rId3" Type="http://schemas.openxmlformats.org/officeDocument/2006/relationships/hyperlink" Target="https://vticket.com.vn/" TargetMode="External"/><Relationship Id="rId7" Type="http://schemas.openxmlformats.org/officeDocument/2006/relationships/hyperlink" Target="https://vtv.vn/su-bung-no-cua-cac-concert-quy-mo-lon-va-co-hoi-dinh-hinh-cac-ip-van-hoa-100260928161459087.htm" TargetMode="External"/><Relationship Id="rId12" Type="http://schemas.openxmlformats.org/officeDocument/2006/relationships/hyperlink" Target="https://baovanhoa.vn/van-hoa/khai-mac-chuong-trinh-tu-hoi-sang-tao-hanh-trinh-den-le-hoi-thiet-ke-sang-tao-ha-noi-2026-196443.html" TargetMode="External"/><Relationship Id="rId17" Type="http://schemas.openxmlformats.org/officeDocument/2006/relationships/hyperlink" Target="https://nhadautu.vn/kham-pha-ban-do-nhac-jazz-quoc-te-tai-ha-noi-vao-thang-9-d106942.html" TargetMode="External"/><Relationship Id="rId2" Type="http://schemas.openxmlformats.org/officeDocument/2006/relationships/hyperlink" Target="https://hoguomopera.com/" TargetMode="External"/><Relationship Id="rId16" Type="http://schemas.openxmlformats.org/officeDocument/2006/relationships/hyperlink" Target="https://baoquocte.vn/khai-mac-festival-thang-long-ha-noi-2026-bua-tiec-nghe-thuat-da-mau-sac-van-hoa-442897.html" TargetMode="External"/><Relationship Id="rId1" Type="http://schemas.openxmlformats.org/officeDocument/2006/relationships/hyperlink" Target="https://mekongasean.vn/sap-dien-ra-le-hoi-van-hoa-the-gioi-tai-ha-noi-lan-thu-hai-59854.html" TargetMode="External"/><Relationship Id="rId6" Type="http://schemas.openxmlformats.org/officeDocument/2006/relationships/hyperlink" Target="https://ticketgo.vn/event/category/am-nhac" TargetMode="External"/><Relationship Id="rId11" Type="http://schemas.openxmlformats.org/officeDocument/2006/relationships/hyperlink" Target="https://baoquocte.vn/van-hoa&amp;by-date=2026-08-19T14-23" TargetMode="External"/><Relationship Id="rId5" Type="http://schemas.openxmlformats.org/officeDocument/2006/relationships/hyperlink" Target="https://ticketgo.vn/" TargetMode="External"/><Relationship Id="rId15" Type="http://schemas.openxmlformats.org/officeDocument/2006/relationships/hyperlink" Target="https://daibieunhandan.vn/dau-thang-9-se-dien-ra-lien-hoan-san-khau-ha-noi-mo-rong-2026-10416231.html" TargetMode="External"/><Relationship Id="rId10" Type="http://schemas.openxmlformats.org/officeDocument/2006/relationships/hyperlink" Target="https://daibieunhandan.vn/print/10400007.html" TargetMode="External"/><Relationship Id="rId4" Type="http://schemas.openxmlformats.org/officeDocument/2006/relationships/hyperlink" Target="https://doanhnghiephoinhap.vn/loi-song&amp;by-date=2026-08-19T16-39" TargetMode="External"/><Relationship Id="rId9" Type="http://schemas.openxmlformats.org/officeDocument/2006/relationships/hyperlink" Target="https://vtv.vn/su-bung-no-cua-cac-concert-quy-mo-lon-va-co-hoi-dinh-hinh-cac-ip-van-hoa-100260928161459087.htm" TargetMode="External"/><Relationship Id="rId14" Type="http://schemas.openxmlformats.org/officeDocument/2006/relationships/hyperlink" Target="https://ticketgo.vn/event/category/am-nhac"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vietnam.travel/vi/things-to-do/vietnams-must-see-museums" TargetMode="External"/><Relationship Id="rId13" Type="http://schemas.openxmlformats.org/officeDocument/2006/relationships/hyperlink" Target="https://vinwonders.com/vi/wonderpedia/news/bao-tang-binh-chung-thong-tin/" TargetMode="External"/><Relationship Id="rId18" Type="http://schemas.openxmlformats.org/officeDocument/2006/relationships/hyperlink" Target="https://vinwonders.com/vi/wonderpedia/news/bao-tang-o-ha-noi/" TargetMode="External"/><Relationship Id="rId3" Type="http://schemas.openxmlformats.org/officeDocument/2006/relationships/hyperlink" Target="https://www.vme.org.vn/" TargetMode="External"/><Relationship Id="rId21" Type="http://schemas.openxmlformats.org/officeDocument/2006/relationships/hyperlink" Target="https://vinpearl.com/vi/danh-sach-20-bao-tang-o-ha-noi-noi-tieng-thu-hut-du-khach" TargetMode="External"/><Relationship Id="rId7" Type="http://schemas.openxmlformats.org/officeDocument/2006/relationships/hyperlink" Target="https://vietnam.travel/vi/things-to-do/vietnams-must-see-museums" TargetMode="External"/><Relationship Id="rId12" Type="http://schemas.openxmlformats.org/officeDocument/2006/relationships/hyperlink" Target="https://vinwonders.com/vi/wonderpedia/news/bao-tang-o-ha-noi/" TargetMode="External"/><Relationship Id="rId17" Type="http://schemas.openxmlformats.org/officeDocument/2006/relationships/hyperlink" Target="https://vinwonders.com/vi/wonderpedia/news/bao-tang-binh-chung-thong-tin/" TargetMode="External"/><Relationship Id="rId2" Type="http://schemas.openxmlformats.org/officeDocument/2006/relationships/hyperlink" Target="https://kinhte.congthuong.vn/apicenter@/print_article&amp;i=368066" TargetMode="External"/><Relationship Id="rId16" Type="http://schemas.openxmlformats.org/officeDocument/2006/relationships/hyperlink" Target="https://vinpearl.com/vi/danh-sach-20-bao-tang-o-ha-noi-noi-tieng-thu-hut-du-khach" TargetMode="External"/><Relationship Id="rId20" Type="http://schemas.openxmlformats.org/officeDocument/2006/relationships/hyperlink" Target="https://vinpearl.com/vi/danh-sach-20-bao-tang-o-ha-noi-noi-tieng-thu-hut-du-khach" TargetMode="External"/><Relationship Id="rId1" Type="http://schemas.openxmlformats.org/officeDocument/2006/relationships/hyperlink" Target="https://kinhte.congthuong.vn/apicenter@/print_article&amp;i=368066" TargetMode="External"/><Relationship Id="rId6" Type="http://schemas.openxmlformats.org/officeDocument/2006/relationships/hyperlink" Target="https://vietnam.travel/vi/things-to-do/vietnams-must-see-museums" TargetMode="External"/><Relationship Id="rId11" Type="http://schemas.openxmlformats.org/officeDocument/2006/relationships/hyperlink" Target="https://vinwonders.com/vi/wonderpedia/news/bao-tang-binh-chung-thong-tin/" TargetMode="External"/><Relationship Id="rId5" Type="http://schemas.openxmlformats.org/officeDocument/2006/relationships/hyperlink" Target="https://vietnam.travel/vi/things-to-do/vietnams-must-see-museums" TargetMode="External"/><Relationship Id="rId15" Type="http://schemas.openxmlformats.org/officeDocument/2006/relationships/hyperlink" Target="https://vinwonders.com/vi/wonderpedia/news/bao-tang-binh-chung-thong-tin/" TargetMode="External"/><Relationship Id="rId23" Type="http://schemas.openxmlformats.org/officeDocument/2006/relationships/hyperlink" Target="https://www.facebook.com/hoaloprisonrelic/posts/th%C3%B4ng-b%C3%A1o/977216631327348/" TargetMode="External"/><Relationship Id="rId10" Type="http://schemas.openxmlformats.org/officeDocument/2006/relationships/hyperlink" Target="https://vietnam.travel/vi/things-to-do/vietnams-must-see-museums" TargetMode="External"/><Relationship Id="rId19" Type="http://schemas.openxmlformats.org/officeDocument/2006/relationships/hyperlink" Target="https://vinpearl.com/vi/danh-sach-20-bao-tang-o-ha-noi-noi-tieng-thu-hut-du-khach" TargetMode="External"/><Relationship Id="rId4" Type="http://schemas.openxmlformats.org/officeDocument/2006/relationships/hyperlink" Target="https://en.wikipedia.org/wiki/Vietnam_Museum_of_Ethnology" TargetMode="External"/><Relationship Id="rId9" Type="http://schemas.openxmlformats.org/officeDocument/2006/relationships/hyperlink" Target="https://vinwonders.com/vi/wonderpedia/news/bao-tang-binh-chung-thong-tin/" TargetMode="External"/><Relationship Id="rId14" Type="http://schemas.openxmlformats.org/officeDocument/2006/relationships/hyperlink" Target="https://vinwonders.com/vi/wonderpedia/news/bao-tang-binh-chung-thong-tin/" TargetMode="External"/><Relationship Id="rId22" Type="http://schemas.openxmlformats.org/officeDocument/2006/relationships/hyperlink" Target="https://vinpearl.com/vi/danh-sach-20-bao-tang-o-ha-noi-noi-tieng-thu-hut-du-khach"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baovanhoa.vn/di-san/trien-lam-di-tich-quoc-gia-dac-biet-o-ha-noi-59651.html" TargetMode="External"/><Relationship Id="rId18" Type="http://schemas.openxmlformats.org/officeDocument/2006/relationships/hyperlink" Target="https://baovanhoa.vn/di-san/trien-lam-di-tich-quoc-gia-dac-biet-o-ha-noi-59651.html" TargetMode="External"/><Relationship Id="rId26" Type="http://schemas.openxmlformats.org/officeDocument/2006/relationships/hyperlink" Target="https://www.vietnammonpaysnatal.fr/pagoda-of-vietnam-va-part-2/" TargetMode="External"/><Relationship Id="rId3" Type="http://schemas.openxmlformats.org/officeDocument/2006/relationships/hyperlink" Target="https://baovanhoa.vn/di-san/trien-lam-di-tich-quoc-gia-dac-biet-o-ha-noi-59651.html" TargetMode="External"/><Relationship Id="rId21" Type="http://schemas.openxmlformats.org/officeDocument/2006/relationships/hyperlink" Target="https://baovanhoa.vn/di-san/trien-lam-di-tich-quoc-gia-dac-biet-o-ha-noi-59651.html" TargetMode="External"/><Relationship Id="rId34" Type="http://schemas.openxmlformats.org/officeDocument/2006/relationships/hyperlink" Target="https://kinhte.congthuong.vn/apicenter@/print_article&amp;i=368066" TargetMode="External"/><Relationship Id="rId7" Type="http://schemas.openxmlformats.org/officeDocument/2006/relationships/hyperlink" Target="https://baovanhoa.vn/di-san/trien-lam-di-tich-quoc-gia-dac-biet-o-ha-noi-59651.html" TargetMode="External"/><Relationship Id="rId12" Type="http://schemas.openxmlformats.org/officeDocument/2006/relationships/hyperlink" Target="https://en.wikipedia.org/wiki/C&#7893;_Loa_Citadel" TargetMode="External"/><Relationship Id="rId17" Type="http://schemas.openxmlformats.org/officeDocument/2006/relationships/hyperlink" Target="https://baovanhoa.vn/di-san/trien-lam-di-tich-quoc-gia-dac-biet-o-ha-noi-59651.html" TargetMode="External"/><Relationship Id="rId25" Type="http://schemas.openxmlformats.org/officeDocument/2006/relationships/hyperlink" Target="https://baovanhoa.vn/di-san/trien-lam-di-tich-quoc-gia-dac-biet-o-ha-noi-59651.html" TargetMode="External"/><Relationship Id="rId33" Type="http://schemas.openxmlformats.org/officeDocument/2006/relationships/hyperlink" Target="https://kinhte.congthuong.vn/apicenter@/print_article&amp;i=368066" TargetMode="External"/><Relationship Id="rId2" Type="http://schemas.openxmlformats.org/officeDocument/2006/relationships/hyperlink" Target="https://en.wikipedia.org/wiki/Imperial_Citadel_of_Th&#259;ng_Long" TargetMode="External"/><Relationship Id="rId16" Type="http://schemas.openxmlformats.org/officeDocument/2006/relationships/hyperlink" Target="https://baovanhoa.vn/di-san/trien-lam-di-tich-quoc-gia-dac-biet-o-ha-noi-59651.html" TargetMode="External"/><Relationship Id="rId20" Type="http://schemas.openxmlformats.org/officeDocument/2006/relationships/hyperlink" Target="https://baovanhoa.vn/di-san/trien-lam-di-tich-quoc-gia-dac-biet-o-ha-noi-59651.html" TargetMode="External"/><Relationship Id="rId29" Type="http://schemas.openxmlformats.org/officeDocument/2006/relationships/hyperlink" Target="https://www.vietnamairlines.com/at/vi/plan-book/travel/travel-guide/di-tich-lich-su-o-ha-noi" TargetMode="External"/><Relationship Id="rId1" Type="http://schemas.openxmlformats.org/officeDocument/2006/relationships/hyperlink" Target="https://hoangthanhthanglong.com/" TargetMode="External"/><Relationship Id="rId6" Type="http://schemas.openxmlformats.org/officeDocument/2006/relationships/hyperlink" Target="https://baovanhoa.vn/di-san/trien-lam-di-tich-quoc-gia-dac-biet-o-ha-noi-59651.html" TargetMode="External"/><Relationship Id="rId11" Type="http://schemas.openxmlformats.org/officeDocument/2006/relationships/hyperlink" Target="https://baovanhoa.vn/di-san/trien-lam-di-tich-quoc-gia-dac-biet-o-ha-noi-59651.html" TargetMode="External"/><Relationship Id="rId24" Type="http://schemas.openxmlformats.org/officeDocument/2006/relationships/hyperlink" Target="https://baovanhoa.vn/di-san/trien-lam-di-tich-quoc-gia-dac-biet-o-ha-noi-59651.html" TargetMode="External"/><Relationship Id="rId32" Type="http://schemas.openxmlformats.org/officeDocument/2006/relationships/hyperlink" Target="https://www.vietnamairlines.com/at/vi/plan-book/travel/travel-guide/di-tich-lich-su-o-ha-noi" TargetMode="External"/><Relationship Id="rId5" Type="http://schemas.openxmlformats.org/officeDocument/2006/relationships/hyperlink" Target="https://baovanhoa.vn/di-san/trien-lam-di-tich-quoc-gia-dac-biet-o-ha-noi-59651.html" TargetMode="External"/><Relationship Id="rId15" Type="http://schemas.openxmlformats.org/officeDocument/2006/relationships/hyperlink" Target="https://baovanhoa.vn/di-san/trien-lam-di-tich-quoc-gia-dac-biet-o-ha-noi-59651.html" TargetMode="External"/><Relationship Id="rId23" Type="http://schemas.openxmlformats.org/officeDocument/2006/relationships/hyperlink" Target="https://baovanhoa.vn/di-san/trien-lam-di-tich-quoc-gia-dac-biet-o-ha-noi-59651.html" TargetMode="External"/><Relationship Id="rId28" Type="http://schemas.openxmlformats.org/officeDocument/2006/relationships/hyperlink" Target="https://kinhte.congthuong.vn/apicenter@/print_article&amp;i=368066" TargetMode="External"/><Relationship Id="rId36" Type="http://schemas.openxmlformats.org/officeDocument/2006/relationships/hyperlink" Target="https://kinhte.congthuong.vn/apicenter@/print_article&amp;i=368066" TargetMode="External"/><Relationship Id="rId10" Type="http://schemas.openxmlformats.org/officeDocument/2006/relationships/hyperlink" Target="https://baovanhoa.vn/di-san/trien-lam-di-tich-quoc-gia-dac-biet-o-ha-noi-59651.html" TargetMode="External"/><Relationship Id="rId19" Type="http://schemas.openxmlformats.org/officeDocument/2006/relationships/hyperlink" Target="https://baovanhoa.vn/di-san/trien-lam-di-tich-quoc-gia-dac-biet-o-ha-noi-59651.html" TargetMode="External"/><Relationship Id="rId31" Type="http://schemas.openxmlformats.org/officeDocument/2006/relationships/hyperlink" Target="https://www.vietnamairlines.com/at/vi/plan-book/travel/travel-guide/di-tich-lich-su-o-ha-noi" TargetMode="External"/><Relationship Id="rId4" Type="http://schemas.openxmlformats.org/officeDocument/2006/relationships/hyperlink" Target="https://en.wikipedia.org/wiki/Temple_of_Literature,_Hanoi" TargetMode="External"/><Relationship Id="rId9" Type="http://schemas.openxmlformats.org/officeDocument/2006/relationships/hyperlink" Target="https://baovanhoa.vn/di-san/trien-lam-di-tich-quoc-gia-dac-biet-o-ha-noi-59651.html" TargetMode="External"/><Relationship Id="rId14" Type="http://schemas.openxmlformats.org/officeDocument/2006/relationships/hyperlink" Target="https://baovanhoa.vn/di-san/trien-lam-di-tich-quoc-gia-dac-biet-o-ha-noi-59651.html" TargetMode="External"/><Relationship Id="rId22" Type="http://schemas.openxmlformats.org/officeDocument/2006/relationships/hyperlink" Target="https://baovanhoa.vn/di-san/trien-lam-di-tich-quoc-gia-dac-biet-o-ha-noi-59651.html" TargetMode="External"/><Relationship Id="rId27" Type="http://schemas.openxmlformats.org/officeDocument/2006/relationships/hyperlink" Target="https://kinhte.congthuong.vn/apicenter@/print_article&amp;i=368066" TargetMode="External"/><Relationship Id="rId30" Type="http://schemas.openxmlformats.org/officeDocument/2006/relationships/hyperlink" Target="https://www.vietnamairlines.com/at/vi/plan-book/travel/travel-guide/di-tich-lich-su-o-ha-noi" TargetMode="External"/><Relationship Id="rId35" Type="http://schemas.openxmlformats.org/officeDocument/2006/relationships/hyperlink" Target="https://kinhte.congthuong.vn/apicenter@/print_article&amp;i=368066" TargetMode="External"/><Relationship Id="rId8" Type="http://schemas.openxmlformats.org/officeDocument/2006/relationships/hyperlink" Target="https://baovanhoa.vn/di-san/trien-lam-di-tich-quoc-gia-dac-biet-o-ha-noi-59651.htm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mytour.vn/vi/blog/bai-viet/10-quan-cafe-acoustic-hang-dau-tai-ha-noi-khong-the-bo-lo.html" TargetMode="External"/><Relationship Id="rId13" Type="http://schemas.openxmlformats.org/officeDocument/2006/relationships/hyperlink" Target="https://vinpearl.com/vi/quan-cafe-nhac-song-ha-noi" TargetMode="External"/><Relationship Id="rId18" Type="http://schemas.openxmlformats.org/officeDocument/2006/relationships/hyperlink" Target="https://www.toplist.vn/top-list/quan-cafe-nhac-acoustic-o-ha-dong-ha-noi-41374.htm" TargetMode="External"/><Relationship Id="rId26" Type="http://schemas.openxmlformats.org/officeDocument/2006/relationships/hyperlink" Target="https://znews.vn/5-quan-ca-phe-nhac-song-duoc-yeu-thich-o-ha-noi-post737418.html" TargetMode="External"/><Relationship Id="rId3" Type="http://schemas.openxmlformats.org/officeDocument/2006/relationships/hyperlink" Target="https://vinpearl.com/vi/quan-cafe-nhac-song-ha-noi" TargetMode="External"/><Relationship Id="rId21" Type="http://schemas.openxmlformats.org/officeDocument/2006/relationships/hyperlink" Target="https://www.facebook.com/atclivemusic/" TargetMode="External"/><Relationship Id="rId7" Type="http://schemas.openxmlformats.org/officeDocument/2006/relationships/hyperlink" Target="https://mytour.vn/vi/blog/bai-viet/10-quan-cafe-acoustic-hang-dau-tai-ha-noi-khong-the-bo-lo.html" TargetMode="External"/><Relationship Id="rId12" Type="http://schemas.openxmlformats.org/officeDocument/2006/relationships/hyperlink" Target="https://vinpearl.com/vi/quan-cafe-nhac-song-ha-noi" TargetMode="External"/><Relationship Id="rId17" Type="http://schemas.openxmlformats.org/officeDocument/2006/relationships/hyperlink" Target="https://www.toplist.vn/top-list/quan-cafe-nhac-acoustic-o-ha-dong-ha-noi-41374.htm" TargetMode="External"/><Relationship Id="rId25" Type="http://schemas.openxmlformats.org/officeDocument/2006/relationships/hyperlink" Target="https://znews.vn/5-quan-ca-phe-nhac-song-duoc-yeu-thich-o-ha-noi-post737418.html" TargetMode="External"/><Relationship Id="rId2" Type="http://schemas.openxmlformats.org/officeDocument/2006/relationships/hyperlink" Target="https://www.foody.vn/ha-noi/g4u-acoustic-cafe" TargetMode="External"/><Relationship Id="rId16" Type="http://schemas.openxmlformats.org/officeDocument/2006/relationships/hyperlink" Target="https://vinwonders.com/vi/wonderpedia/news/cafe-nhac-song-ha-noi/" TargetMode="External"/><Relationship Id="rId20" Type="http://schemas.openxmlformats.org/officeDocument/2006/relationships/hyperlink" Target="https://www.toplist.vn/top-list/quan-cafe-nhac-acoustic-o-ha-dong-ha-noi-41374.htm" TargetMode="External"/><Relationship Id="rId1" Type="http://schemas.openxmlformats.org/officeDocument/2006/relationships/hyperlink" Target="https://www.foody.vn/ha-noi/g4u-acoustic-cafe" TargetMode="External"/><Relationship Id="rId6" Type="http://schemas.openxmlformats.org/officeDocument/2006/relationships/hyperlink" Target="https://vinpearl.com/vi/quan-cafe-nhac-song-ha-noi" TargetMode="External"/><Relationship Id="rId11" Type="http://schemas.openxmlformats.org/officeDocument/2006/relationships/hyperlink" Target="https://vinpearl.com/vi/quan-cafe-nhac-song-ha-noi" TargetMode="External"/><Relationship Id="rId24" Type="http://schemas.openxmlformats.org/officeDocument/2006/relationships/hyperlink" Target="https://www.toplist.vn/top-list/quan-cafe-nhac-acoustic-o-ha-dong-ha-noi-41374.htm" TargetMode="External"/><Relationship Id="rId5" Type="http://schemas.openxmlformats.org/officeDocument/2006/relationships/hyperlink" Target="https://vinpearl.com/vi/quan-cafe-nhac-song-ha-noi" TargetMode="External"/><Relationship Id="rId15" Type="http://schemas.openxmlformats.org/officeDocument/2006/relationships/hyperlink" Target="https://vinwonders.com/vi/wonderpedia/news/cafe-nhac-song-ha-noi/" TargetMode="External"/><Relationship Id="rId23" Type="http://schemas.openxmlformats.org/officeDocument/2006/relationships/hyperlink" Target="https://www.toplist.vn/top-list/quan-cafe-nhac-acoustic-o-ha-dong-ha-noi-41374.htm" TargetMode="External"/><Relationship Id="rId28" Type="http://schemas.openxmlformats.org/officeDocument/2006/relationships/hyperlink" Target="https://znews.vn/5-quan-ca-phe-nhac-song-duoc-yeu-thich-o-ha-noi-post737418.html" TargetMode="External"/><Relationship Id="rId10" Type="http://schemas.openxmlformats.org/officeDocument/2006/relationships/hyperlink" Target="https://vinpearl.com/vi/quan-cafe-nhac-song-ha-noi" TargetMode="External"/><Relationship Id="rId19" Type="http://schemas.openxmlformats.org/officeDocument/2006/relationships/hyperlink" Target="https://www.toplist.vn/top-list/quan-cafe-nhac-acoustic-o-ha-dong-ha-noi-41374.htm" TargetMode="External"/><Relationship Id="rId4" Type="http://schemas.openxmlformats.org/officeDocument/2006/relationships/hyperlink" Target="https://vinpearl.com/vi/quan-cafe-nhac-song-ha-noi" TargetMode="External"/><Relationship Id="rId9" Type="http://schemas.openxmlformats.org/officeDocument/2006/relationships/hyperlink" Target="https://vinpearl.com/vi/quan-cafe-nhac-song-ha-noi" TargetMode="External"/><Relationship Id="rId14" Type="http://schemas.openxmlformats.org/officeDocument/2006/relationships/hyperlink" Target="https://vinpearl.com/vi/quan-cafe-nhac-song-ha-noi" TargetMode="External"/><Relationship Id="rId22" Type="http://schemas.openxmlformats.org/officeDocument/2006/relationships/hyperlink" Target="https://www.toplist.vn/top-list/quan-cafe-nhac-acoustic-o-ha-dong-ha-noi-41374.htm" TargetMode="External"/><Relationship Id="rId27" Type="http://schemas.openxmlformats.org/officeDocument/2006/relationships/hyperlink" Target="https://znews.vn/5-quan-ca-phe-nhac-song-duoc-yeu-thich-o-ha-noi-post737418.htm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vinwonders.com/?p=76241" TargetMode="External"/><Relationship Id="rId13" Type="http://schemas.openxmlformats.org/officeDocument/2006/relationships/hyperlink" Target="https://vinwonders.com/vi/wonderpedia/news/workshop-lam-nen-thom-ha-noi/" TargetMode="External"/><Relationship Id="rId3" Type="http://schemas.openxmlformats.org/officeDocument/2006/relationships/hyperlink" Target="https://vinwonders.com/vi/wonderpedia/news/workshop-lam-gom-ha-noi/" TargetMode="External"/><Relationship Id="rId7" Type="http://schemas.openxmlformats.org/officeDocument/2006/relationships/hyperlink" Target="https://vinpearl.com/vi/workshop-ve-tranh-ha-noi" TargetMode="External"/><Relationship Id="rId12" Type="http://schemas.openxmlformats.org/officeDocument/2006/relationships/hyperlink" Target="https://vinwonders.com/?p=76241" TargetMode="External"/><Relationship Id="rId17" Type="http://schemas.openxmlformats.org/officeDocument/2006/relationships/hyperlink" Target="https://www.bing.com/maps/default.aspx?v=2&amp;pc=FACEBK&amp;mid=8100&amp;where1=292%20B%E1%BA%A1ch%20%C4%90%E1%BA%B1ng%2C%20Hanoi%2C%20Vietnam&amp;FORM=FBKPL1&amp;mkt=en-US&amp;fbclid=IwZXh0bgNhZW0CMTAAcGRvZgFicmlkETFWZEdUaktDYnpzdXZEMlVwc3J0YwZhcHBfaWQQMjIyMDM5MTc4ODIwMDg5MgABHnS2qwzBuU4GK5k9BC7XqhGpIQ5w5YnTjVc9PCi-1u_Eu_v06NRFpw3b_V3h_aem_QrJ_zuZwHiSfyOnwvt5syw" TargetMode="External"/><Relationship Id="rId2" Type="http://schemas.openxmlformats.org/officeDocument/2006/relationships/hyperlink" Target="https://vinwonders.com/vi/wonderpedia/news/workshop-lam-gom-ha-noi/" TargetMode="External"/><Relationship Id="rId16" Type="http://schemas.openxmlformats.org/officeDocument/2006/relationships/hyperlink" Target="https://vinwonders.com/?p=73751" TargetMode="External"/><Relationship Id="rId1" Type="http://schemas.openxmlformats.org/officeDocument/2006/relationships/hyperlink" Target="https://vinwonders.com/vi/wonderpedia/news/workshop-lam-gom-ha-noi/" TargetMode="External"/><Relationship Id="rId6" Type="http://schemas.openxmlformats.org/officeDocument/2006/relationships/hyperlink" Target="https://vinwonders.com/?p=72416" TargetMode="External"/><Relationship Id="rId11" Type="http://schemas.openxmlformats.org/officeDocument/2006/relationships/hyperlink" Target="https://vinwonders.com/?p=76241" TargetMode="External"/><Relationship Id="rId5" Type="http://schemas.openxmlformats.org/officeDocument/2006/relationships/hyperlink" Target="https://vinwonders.com/vi/wonderpedia/news/workshop-lam-gom-ha-noi/" TargetMode="External"/><Relationship Id="rId15" Type="http://schemas.openxmlformats.org/officeDocument/2006/relationships/hyperlink" Target="https://vinwonders.com/?p=73751" TargetMode="External"/><Relationship Id="rId10" Type="http://schemas.openxmlformats.org/officeDocument/2006/relationships/hyperlink" Target="https://vinwonders.com/?p=76241" TargetMode="External"/><Relationship Id="rId4" Type="http://schemas.openxmlformats.org/officeDocument/2006/relationships/hyperlink" Target="https://vinwonders.com/vi/wonderpedia/news/workshop-lam-gom-ha-noi/" TargetMode="External"/><Relationship Id="rId9" Type="http://schemas.openxmlformats.org/officeDocument/2006/relationships/hyperlink" Target="https://vinwonders.com/?p=76241" TargetMode="External"/><Relationship Id="rId14" Type="http://schemas.openxmlformats.org/officeDocument/2006/relationships/hyperlink" Target="https://vinwonders.com/vi/wonderpedia/news/workshop-lam-nen-thom-ha-noi/"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finhay.com.vn/chup-photobooth-o-dau-ha-noi-dep" TargetMode="External"/><Relationship Id="rId13" Type="http://schemas.openxmlformats.org/officeDocument/2006/relationships/hyperlink" Target="https://www.finhay.com.vn/chup-photobooth-o-dau-ha-noi-dep" TargetMode="External"/><Relationship Id="rId18" Type="http://schemas.openxmlformats.org/officeDocument/2006/relationships/hyperlink" Target="https://www.finhay.com.vn/chup-photobooth-o-dau-ha-noi-dep" TargetMode="External"/><Relationship Id="rId26" Type="http://schemas.openxmlformats.org/officeDocument/2006/relationships/hyperlink" Target="https://www.greensm.com/vn-vi/news/photobooth-dang-van-ngu-ha-noi" TargetMode="External"/><Relationship Id="rId3" Type="http://schemas.openxmlformats.org/officeDocument/2006/relationships/hyperlink" Target="https://www.finhay.com.vn/chup-photobooth-o-dau-ha-noi-dep" TargetMode="External"/><Relationship Id="rId21" Type="http://schemas.openxmlformats.org/officeDocument/2006/relationships/hyperlink" Target="https://mia.vn/cam-nang-du-lich/photobooth-ha-noi-cuc-hot-19165" TargetMode="External"/><Relationship Id="rId7" Type="http://schemas.openxmlformats.org/officeDocument/2006/relationships/hyperlink" Target="https://www.finhay.com.vn/chup-photobooth-o-dau-ha-noi-dep" TargetMode="External"/><Relationship Id="rId12" Type="http://schemas.openxmlformats.org/officeDocument/2006/relationships/hyperlink" Target="https://www.finhay.com.vn/chup-photobooth-o-dau-ha-noi-dep" TargetMode="External"/><Relationship Id="rId17" Type="http://schemas.openxmlformats.org/officeDocument/2006/relationships/hyperlink" Target="https://www.finhay.com.vn/chup-photobooth-o-dau-ha-noi-dep" TargetMode="External"/><Relationship Id="rId25" Type="http://schemas.openxmlformats.org/officeDocument/2006/relationships/hyperlink" Target="https://www.greensm.com/vn-vi/news/photobooth-dang-van-ngu-ha-noi" TargetMode="External"/><Relationship Id="rId2" Type="http://schemas.openxmlformats.org/officeDocument/2006/relationships/hyperlink" Target="https://www.finhay.com.vn/chup-photobooth-o-dau-ha-noi-dep" TargetMode="External"/><Relationship Id="rId16" Type="http://schemas.openxmlformats.org/officeDocument/2006/relationships/hyperlink" Target="https://www.finhay.com.vn/chup-photobooth-o-dau-ha-noi-dep" TargetMode="External"/><Relationship Id="rId20" Type="http://schemas.openxmlformats.org/officeDocument/2006/relationships/hyperlink" Target="https://www.vietnamairlines.com/at/vi/plan-book/travel/travel-guide/photobooth-ha-noi" TargetMode="External"/><Relationship Id="rId1" Type="http://schemas.openxmlformats.org/officeDocument/2006/relationships/hyperlink" Target="https://www.finhay.com.vn/chup-photobooth-o-dau-ha-noi-dep" TargetMode="External"/><Relationship Id="rId6" Type="http://schemas.openxmlformats.org/officeDocument/2006/relationships/hyperlink" Target="https://www.finhay.com.vn/chup-photobooth-o-dau-ha-noi-dep" TargetMode="External"/><Relationship Id="rId11" Type="http://schemas.openxmlformats.org/officeDocument/2006/relationships/hyperlink" Target="https://www.finhay.com.vn/chup-photobooth-o-dau-ha-noi-dep" TargetMode="External"/><Relationship Id="rId24" Type="http://schemas.openxmlformats.org/officeDocument/2006/relationships/hyperlink" Target="https://mia.vn/cam-nang-du-lich/photobooth-ha-noi-cuc-hot-19165" TargetMode="External"/><Relationship Id="rId5" Type="http://schemas.openxmlformats.org/officeDocument/2006/relationships/hyperlink" Target="https://www.finhay.com.vn/chup-photobooth-o-dau-ha-noi-dep" TargetMode="External"/><Relationship Id="rId15" Type="http://schemas.openxmlformats.org/officeDocument/2006/relationships/hyperlink" Target="https://www.finhay.com.vn/chup-photobooth-o-dau-ha-noi-dep" TargetMode="External"/><Relationship Id="rId23" Type="http://schemas.openxmlformats.org/officeDocument/2006/relationships/hyperlink" Target="https://mia.vn/cam-nang-du-lich/photobooth-ha-noi-cuc-hot-19165" TargetMode="External"/><Relationship Id="rId10" Type="http://schemas.openxmlformats.org/officeDocument/2006/relationships/hyperlink" Target="https://www.finhay.com.vn/chup-photobooth-o-dau-ha-noi-dep" TargetMode="External"/><Relationship Id="rId19" Type="http://schemas.openxmlformats.org/officeDocument/2006/relationships/hyperlink" Target="https://www.vietnamairlines.com/at/vi/plan-book/travel/travel-guide/photobooth-ha-noi" TargetMode="External"/><Relationship Id="rId4" Type="http://schemas.openxmlformats.org/officeDocument/2006/relationships/hyperlink" Target="https://www.finhay.com.vn/chup-photobooth-o-dau-ha-noi-dep" TargetMode="External"/><Relationship Id="rId9" Type="http://schemas.openxmlformats.org/officeDocument/2006/relationships/hyperlink" Target="https://www.finhay.com.vn/chup-photobooth-o-dau-ha-noi-dep" TargetMode="External"/><Relationship Id="rId14" Type="http://schemas.openxmlformats.org/officeDocument/2006/relationships/hyperlink" Target="https://www.finhay.com.vn/chup-photobooth-o-dau-ha-noi-dep" TargetMode="External"/><Relationship Id="rId22" Type="http://schemas.openxmlformats.org/officeDocument/2006/relationships/hyperlink" Target="https://mia.vn/cam-nang-du-lich/photobooth-ha-noi-cuc-hot-1916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nhadautu.vn/kham-pha-ban-do-nhac-jazz-quoc-te-tai-ha-noi-vao-thang-9-d106942.html" TargetMode="External"/><Relationship Id="rId13" Type="http://schemas.openxmlformats.org/officeDocument/2006/relationships/hyperlink" Target="https://mekongasean.vn/14-tac-pham-trong-nuoc-tham-gia-lien-hoan-phim-tai-lieu-chau-au-viet-nam-2026-59631.html" TargetMode="External"/><Relationship Id="rId3" Type="http://schemas.openxmlformats.org/officeDocument/2006/relationships/hyperlink" Target="https://www.vietnamtourism.com/vi/nha-hat-mua-roi-nuoc-thang-long-o-ha-noi-gio-dien-ve-va-thoi" TargetMode="External"/><Relationship Id="rId7" Type="http://schemas.openxmlformats.org/officeDocument/2006/relationships/hyperlink" Target="https://nhadautu.vn/kham-pha-ban-do-nhac-jazz-quoc-te-tai-ha-noi-vao-thang-9-d106942.html" TargetMode="External"/><Relationship Id="rId12" Type="http://schemas.openxmlformats.org/officeDocument/2006/relationships/hyperlink" Target="https://daibieunhandan.vn/dau-thang-9-se-dien-ra-lien-hoan-san-khau-ha-noi-mo-rong-2026-10416231.html" TargetMode="External"/><Relationship Id="rId2" Type="http://schemas.openxmlformats.org/officeDocument/2006/relationships/hyperlink" Target="https://hoguomopera.com/" TargetMode="External"/><Relationship Id="rId1" Type="http://schemas.openxmlformats.org/officeDocument/2006/relationships/hyperlink" Target="https://hoguomopera.com/" TargetMode="External"/><Relationship Id="rId6" Type="http://schemas.openxmlformats.org/officeDocument/2006/relationships/hyperlink" Target="https://www.vietnamplus.vn/infographics-nha-hat-lon-thanh-pho-ha-noi-diem-hen-van-hoa-post329834.vnp" TargetMode="External"/><Relationship Id="rId11" Type="http://schemas.openxmlformats.org/officeDocument/2006/relationships/hyperlink" Target="https://vticket.com.vn/" TargetMode="External"/><Relationship Id="rId5" Type="http://schemas.openxmlformats.org/officeDocument/2006/relationships/hyperlink" Target="https://nhadautu.vn/kham-pha-ban-do-nhac-jazz-quoc-te-tai-ha-noi-vao-thang-9-d106942.html" TargetMode="External"/><Relationship Id="rId10" Type="http://schemas.openxmlformats.org/officeDocument/2006/relationships/hyperlink" Target="https://kinhte.congthuong.vn/apicenter@/print_article&amp;i=368066" TargetMode="External"/><Relationship Id="rId4" Type="http://schemas.openxmlformats.org/officeDocument/2006/relationships/hyperlink" Target="https://www.vietnamtourism.com/vi/nha-hat-mua-roi-nuoc-thang-long-o-ha-noi-gio-dien-ve-va-thoi" TargetMode="External"/><Relationship Id="rId9" Type="http://schemas.openxmlformats.org/officeDocument/2006/relationships/hyperlink" Target="https://baoquocte.vn/jazz-ha-noi-giai-dieu-khong-bien-gioi-430625.html" TargetMode="External"/><Relationship Id="rId14" Type="http://schemas.openxmlformats.org/officeDocument/2006/relationships/hyperlink" Target="https://vtv.vn/su-bung-no-cua-cac-concert-quy-mo-lon-va-co-hoi-dinh-hinh-cac-ip-van-hoa-100260928161459087.ht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sggp.org.vn/cong-bo-le-hoi-thiet-ke-sang-tao-ha-noi-2026-post827969.html" TargetMode="External"/><Relationship Id="rId3" Type="http://schemas.openxmlformats.org/officeDocument/2006/relationships/hyperlink" Target="https://ticketbox.vn/" TargetMode="External"/><Relationship Id="rId7" Type="http://schemas.openxmlformats.org/officeDocument/2006/relationships/hyperlink" Target="https://datafiles.hanoi.gov.vn/gov-hni/6249/VanBan/2025/12/10/KH-333-2025.pdf" TargetMode="External"/><Relationship Id="rId2" Type="http://schemas.openxmlformats.org/officeDocument/2006/relationships/hyperlink" Target="https://vticket.com.vn/" TargetMode="External"/><Relationship Id="rId1" Type="http://schemas.openxmlformats.org/officeDocument/2006/relationships/hyperlink" Target="https://ticketgo.vn/" TargetMode="External"/><Relationship Id="rId6" Type="http://schemas.openxmlformats.org/officeDocument/2006/relationships/hyperlink" Target="https://www.vme.org.vn/" TargetMode="External"/><Relationship Id="rId5" Type="http://schemas.openxmlformats.org/officeDocument/2006/relationships/hyperlink" Target="https://hoangthanhthanglong.com/" TargetMode="External"/><Relationship Id="rId4" Type="http://schemas.openxmlformats.org/officeDocument/2006/relationships/hyperlink" Target="https://hoguomopera.com/" TargetMode="External"/><Relationship Id="rId9" Type="http://schemas.openxmlformats.org/officeDocument/2006/relationships/hyperlink" Target="https://tapchicongthuong.vn/ha-noi--cong-bo-danh-muc-di-tich--di-san-can-duoc-bao-ve-va-phat-huy-gia-tri-140406.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topLeftCell="A8" zoomScale="197" zoomScaleNormal="100" workbookViewId="0"/>
  </sheetViews>
  <sheetFormatPr defaultColWidth="8.6640625" defaultRowHeight="14.4"/>
  <cols>
    <col min="1" max="1" width="30" customWidth="1"/>
    <col min="2" max="2" width="12" customWidth="1"/>
    <col min="3" max="3" width="22" customWidth="1"/>
  </cols>
  <sheetData>
    <row r="1" spans="1:3" ht="17.25" customHeight="1">
      <c r="A1" s="1" t="s">
        <v>0</v>
      </c>
    </row>
    <row r="2" spans="1:3" ht="15" customHeight="1">
      <c r="A2" s="2" t="s">
        <v>1</v>
      </c>
    </row>
    <row r="4" spans="1:3" ht="15" customHeight="1">
      <c r="A4" s="3" t="s">
        <v>2</v>
      </c>
      <c r="B4" s="3" t="s">
        <v>3</v>
      </c>
      <c r="C4" s="3" t="s">
        <v>4</v>
      </c>
    </row>
    <row r="5" spans="1:3" ht="15" customHeight="1">
      <c r="A5" s="4" t="s">
        <v>5</v>
      </c>
      <c r="B5" s="4">
        <f>COUNTA(Su_kien!A:A)-1</f>
        <v>18</v>
      </c>
      <c r="C5" s="4">
        <f>COUNTIF(Su_kien!K:K,"Cần kiểm tra*")</f>
        <v>5</v>
      </c>
    </row>
    <row r="6" spans="1:3" ht="15" customHeight="1">
      <c r="A6" s="4" t="s">
        <v>6</v>
      </c>
      <c r="B6" s="4">
        <f>COUNTA(Bao_tang!A:A)-1</f>
        <v>15</v>
      </c>
      <c r="C6" s="4">
        <f>COUNTIF(Bao_tang!I:I,"Cần kiểm tra*")</f>
        <v>6</v>
      </c>
    </row>
    <row r="7" spans="1:3" ht="15" customHeight="1">
      <c r="A7" s="4" t="s">
        <v>7</v>
      </c>
      <c r="B7" s="4">
        <f>COUNTA(Di_tich!A:A)-1</f>
        <v>18</v>
      </c>
      <c r="C7" s="4">
        <f>COUNTIF(Di_tich!I:I,"Cần kiểm tra*")</f>
        <v>1</v>
      </c>
    </row>
    <row r="8" spans="1:3" ht="15" customHeight="1">
      <c r="A8" s="4" t="s">
        <v>8</v>
      </c>
      <c r="B8" s="4">
        <f>COUNTA(Cafe_nhac_song!A:A)-1</f>
        <v>14</v>
      </c>
      <c r="C8" s="4">
        <f>COUNTIF(Cafe_nhac_song!H:H,"Cần kiểm tra*")</f>
        <v>2</v>
      </c>
    </row>
    <row r="9" spans="1:3" ht="15" customHeight="1">
      <c r="A9" s="4" t="s">
        <v>9</v>
      </c>
      <c r="B9" s="4">
        <f>COUNTA(Workshop!A:A)-1</f>
        <v>8</v>
      </c>
      <c r="C9" s="4">
        <f>COUNTIF(Workshop!G:G,"Cần kiểm tra*")</f>
        <v>3</v>
      </c>
    </row>
    <row r="10" spans="1:3" ht="15" customHeight="1">
      <c r="A10" s="4" t="s">
        <v>10</v>
      </c>
      <c r="B10" s="4">
        <f>COUNTA(Photobooth!A:A)-1</f>
        <v>13</v>
      </c>
      <c r="C10" s="4">
        <f>COUNTIF(Photobooth!G:G,"Cần kiểm tra*")</f>
        <v>1</v>
      </c>
    </row>
    <row r="11" spans="1:3" ht="15" customHeight="1">
      <c r="A11" s="4" t="s">
        <v>11</v>
      </c>
      <c r="B11" s="4">
        <f>COUNTA(Nha_hat_Dia_diem!A:A)-1</f>
        <v>9</v>
      </c>
      <c r="C11" s="4">
        <f>COUNTIF(Nha_hat_Dia_diem!G:G,"Cần kiểm tra*")</f>
        <v>0</v>
      </c>
    </row>
    <row r="12" spans="1:3" ht="15" customHeight="1">
      <c r="A12" s="4" t="s">
        <v>12</v>
      </c>
      <c r="B12" s="4">
        <f>COUNTA(Nguon_theo_doi!A:A)-1</f>
        <v>9</v>
      </c>
      <c r="C12" s="4" t="s">
        <v>13</v>
      </c>
    </row>
    <row r="13" spans="1:3" ht="15" customHeight="1">
      <c r="A13" s="5" t="s">
        <v>14</v>
      </c>
      <c r="B13" s="5">
        <f>SUM(B5:B12)</f>
        <v>104</v>
      </c>
      <c r="C13" s="5">
        <f>SUM(C5:C11)</f>
        <v>18</v>
      </c>
    </row>
    <row r="14" spans="1:3" ht="15" customHeight="1">
      <c r="A14" s="2"/>
    </row>
    <row r="15" spans="1:3" ht="15" customHeight="1">
      <c r="A15" s="6" t="s">
        <v>15</v>
      </c>
    </row>
    <row r="16" spans="1:3" ht="15" customHeight="1">
      <c r="A16" s="2" t="s">
        <v>16</v>
      </c>
    </row>
    <row r="17" spans="1:1" ht="15" customHeight="1">
      <c r="A17" s="2" t="s">
        <v>17</v>
      </c>
    </row>
    <row r="18" spans="1:1" ht="15" customHeight="1">
      <c r="A18" s="2" t="s">
        <v>18</v>
      </c>
    </row>
    <row r="19" spans="1:1" ht="15" customHeight="1">
      <c r="A19" s="2" t="s">
        <v>19</v>
      </c>
    </row>
    <row r="20" spans="1:1" ht="15" customHeight="1">
      <c r="A20" s="2" t="s">
        <v>20</v>
      </c>
    </row>
    <row r="21" spans="1:1" ht="15" customHeight="1">
      <c r="A21" s="2" t="s">
        <v>21</v>
      </c>
    </row>
    <row r="22" spans="1:1">
      <c r="A22" s="2" t="s">
        <v>22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9"/>
  <sheetViews>
    <sheetView zoomScale="67" zoomScaleNormal="100" workbookViewId="0">
      <pane xSplit="1" ySplit="1" topLeftCell="C2" activePane="bottomRight" state="frozen"/>
      <selection pane="topRight" activeCell="B1" sqref="B1"/>
      <selection pane="bottomLeft" activeCell="A2" sqref="A2"/>
      <selection pane="bottomRight" activeCell="H15" sqref="H15"/>
    </sheetView>
  </sheetViews>
  <sheetFormatPr defaultColWidth="8.6640625" defaultRowHeight="14.4"/>
  <cols>
    <col min="1" max="1" width="46" customWidth="1"/>
    <col min="2" max="2" width="18" customWidth="1"/>
    <col min="3" max="4" width="13" customWidth="1"/>
    <col min="5" max="5" width="16" customWidth="1"/>
    <col min="6" max="6" width="36" customWidth="1"/>
    <col min="7" max="7" width="18" customWidth="1"/>
    <col min="8" max="8" width="44" customWidth="1"/>
    <col min="9" max="9" width="48" customWidth="1"/>
    <col min="10" max="10" width="18" customWidth="1"/>
    <col min="11" max="11" width="30" customWidth="1"/>
  </cols>
  <sheetData>
    <row r="1" spans="1:11" ht="30" customHeight="1">
      <c r="A1" s="7" t="s">
        <v>23</v>
      </c>
      <c r="B1" s="7" t="s">
        <v>24</v>
      </c>
      <c r="C1" s="7" t="s">
        <v>25</v>
      </c>
      <c r="D1" s="7" t="s">
        <v>26</v>
      </c>
      <c r="E1" s="7" t="s">
        <v>27</v>
      </c>
      <c r="F1" s="7" t="s">
        <v>28</v>
      </c>
      <c r="G1" s="7" t="s">
        <v>29</v>
      </c>
      <c r="H1" s="7" t="s">
        <v>30</v>
      </c>
      <c r="I1" s="7" t="s">
        <v>31</v>
      </c>
      <c r="J1" s="7" t="s">
        <v>32</v>
      </c>
      <c r="K1" s="7" t="s">
        <v>33</v>
      </c>
    </row>
    <row r="2" spans="1:11" ht="34.5" customHeight="1">
      <c r="A2" s="8" t="s">
        <v>34</v>
      </c>
      <c r="B2" s="8" t="s">
        <v>35</v>
      </c>
      <c r="C2" s="9">
        <v>46296</v>
      </c>
      <c r="D2" s="9">
        <v>46299</v>
      </c>
      <c r="E2" s="8" t="str">
        <f t="shared" ref="E2:E19" ca="1" si="0">IF(TODAY()&gt;D2,"Đã diễn ra",IF(TODAY()&gt;=C2,"Đang diễn ra","Sắp diễn ra"))</f>
        <v>Đang diễn ra</v>
      </c>
      <c r="F2" s="8" t="s">
        <v>36</v>
      </c>
      <c r="G2" s="8" t="s">
        <v>37</v>
      </c>
      <c r="H2" s="8" t="s">
        <v>38</v>
      </c>
      <c r="I2" s="10" t="s">
        <v>39</v>
      </c>
      <c r="J2" s="8" t="s">
        <v>40</v>
      </c>
      <c r="K2" s="8" t="s">
        <v>41</v>
      </c>
    </row>
    <row r="3" spans="1:11" ht="23.25" customHeight="1">
      <c r="A3" s="8" t="s">
        <v>42</v>
      </c>
      <c r="B3" s="8" t="s">
        <v>43</v>
      </c>
      <c r="C3" s="9">
        <v>46297</v>
      </c>
      <c r="D3" s="9">
        <v>46298</v>
      </c>
      <c r="E3" s="8" t="str">
        <f t="shared" ca="1" si="0"/>
        <v>Đang diễn ra</v>
      </c>
      <c r="F3" s="8" t="s">
        <v>44</v>
      </c>
      <c r="G3" s="8" t="s">
        <v>45</v>
      </c>
      <c r="H3" s="8" t="s">
        <v>46</v>
      </c>
      <c r="I3" s="10" t="s">
        <v>47</v>
      </c>
      <c r="J3" s="8" t="s">
        <v>48</v>
      </c>
      <c r="K3" s="8" t="s">
        <v>41</v>
      </c>
    </row>
    <row r="4" spans="1:11" ht="15" customHeight="1">
      <c r="A4" s="8" t="s">
        <v>49</v>
      </c>
      <c r="B4" s="8" t="s">
        <v>50</v>
      </c>
      <c r="C4" s="9">
        <v>46298</v>
      </c>
      <c r="D4" s="9">
        <v>46298</v>
      </c>
      <c r="E4" s="8" t="str">
        <f t="shared" ca="1" si="0"/>
        <v>Đang diễn ra</v>
      </c>
      <c r="F4" s="8" t="s">
        <v>51</v>
      </c>
      <c r="G4" s="8" t="s">
        <v>52</v>
      </c>
      <c r="H4" s="8" t="s">
        <v>53</v>
      </c>
      <c r="I4" s="10" t="s">
        <v>54</v>
      </c>
      <c r="J4" s="8" t="s">
        <v>55</v>
      </c>
      <c r="K4" s="8" t="s">
        <v>41</v>
      </c>
    </row>
    <row r="5" spans="1:11" ht="15" customHeight="1">
      <c r="A5" s="8" t="s">
        <v>56</v>
      </c>
      <c r="B5" s="8" t="s">
        <v>57</v>
      </c>
      <c r="C5" s="9">
        <v>46299</v>
      </c>
      <c r="D5" s="9">
        <v>46299</v>
      </c>
      <c r="E5" s="8" t="str">
        <f t="shared" ca="1" si="0"/>
        <v>Sắp diễn ra</v>
      </c>
      <c r="F5" s="8" t="s">
        <v>58</v>
      </c>
      <c r="G5" s="8" t="s">
        <v>59</v>
      </c>
      <c r="H5" s="8" t="s">
        <v>60</v>
      </c>
      <c r="I5" s="10" t="s">
        <v>61</v>
      </c>
      <c r="J5" s="8" t="s">
        <v>40</v>
      </c>
      <c r="K5" s="8" t="s">
        <v>41</v>
      </c>
    </row>
    <row r="6" spans="1:11" ht="23.25" customHeight="1">
      <c r="A6" s="11" t="s">
        <v>62</v>
      </c>
      <c r="B6" s="11" t="s">
        <v>63</v>
      </c>
      <c r="C6" s="12">
        <v>46304</v>
      </c>
      <c r="D6" s="12">
        <v>46332</v>
      </c>
      <c r="E6" s="11" t="str">
        <f t="shared" ca="1" si="0"/>
        <v>Sắp diễn ra</v>
      </c>
      <c r="F6" s="11" t="s">
        <v>526</v>
      </c>
      <c r="G6" s="11" t="s">
        <v>527</v>
      </c>
      <c r="H6" s="11" t="s">
        <v>65</v>
      </c>
      <c r="I6" s="13" t="s">
        <v>66</v>
      </c>
      <c r="J6" s="11" t="s">
        <v>55</v>
      </c>
      <c r="K6" s="11" t="s">
        <v>67</v>
      </c>
    </row>
    <row r="7" spans="1:11" ht="23.25" customHeight="1">
      <c r="A7" s="8" t="s">
        <v>68</v>
      </c>
      <c r="B7" s="8" t="s">
        <v>69</v>
      </c>
      <c r="C7" s="9">
        <v>46311</v>
      </c>
      <c r="D7" s="9">
        <v>46311</v>
      </c>
      <c r="E7" s="8" t="str">
        <f t="shared" ca="1" si="0"/>
        <v>Sắp diễn ra</v>
      </c>
      <c r="F7" s="8" t="s">
        <v>70</v>
      </c>
      <c r="G7" s="8" t="s">
        <v>71</v>
      </c>
      <c r="H7" s="8" t="s">
        <v>72</v>
      </c>
      <c r="I7" s="10" t="s">
        <v>73</v>
      </c>
      <c r="J7" s="8" t="s">
        <v>55</v>
      </c>
      <c r="K7" s="8" t="s">
        <v>41</v>
      </c>
    </row>
    <row r="8" spans="1:11" ht="23.25" customHeight="1">
      <c r="A8" s="11" t="s">
        <v>74</v>
      </c>
      <c r="B8" s="11" t="s">
        <v>75</v>
      </c>
      <c r="C8" s="12">
        <v>46312</v>
      </c>
      <c r="D8" s="12">
        <v>46313</v>
      </c>
      <c r="E8" s="11" t="str">
        <f t="shared" ca="1" si="0"/>
        <v>Sắp diễn ra</v>
      </c>
      <c r="F8" s="11" t="s">
        <v>528</v>
      </c>
      <c r="G8" s="11" t="s">
        <v>76</v>
      </c>
      <c r="H8" s="11" t="s">
        <v>77</v>
      </c>
      <c r="I8" s="13" t="s">
        <v>78</v>
      </c>
      <c r="J8" s="11" t="s">
        <v>40</v>
      </c>
      <c r="K8" s="11" t="s">
        <v>79</v>
      </c>
    </row>
    <row r="9" spans="1:11" ht="23.25" customHeight="1">
      <c r="A9" s="11" t="s">
        <v>80</v>
      </c>
      <c r="B9" s="11" t="s">
        <v>81</v>
      </c>
      <c r="C9" s="12">
        <v>46319</v>
      </c>
      <c r="D9" s="12">
        <v>46319</v>
      </c>
      <c r="E9" s="11" t="str">
        <f t="shared" ca="1" si="0"/>
        <v>Sắp diễn ra</v>
      </c>
      <c r="F9" s="11" t="s">
        <v>82</v>
      </c>
      <c r="G9" s="11" t="s">
        <v>64</v>
      </c>
      <c r="H9" s="11"/>
      <c r="I9" s="13" t="s">
        <v>66</v>
      </c>
      <c r="J9" s="11" t="s">
        <v>55</v>
      </c>
      <c r="K9" s="11" t="s">
        <v>67</v>
      </c>
    </row>
    <row r="10" spans="1:11" ht="23.25" customHeight="1">
      <c r="A10" s="8" t="s">
        <v>83</v>
      </c>
      <c r="B10" s="8" t="s">
        <v>75</v>
      </c>
      <c r="C10" s="9">
        <v>46319</v>
      </c>
      <c r="D10" s="9">
        <v>46320</v>
      </c>
      <c r="E10" s="8" t="str">
        <f t="shared" ca="1" si="0"/>
        <v>Sắp diễn ra</v>
      </c>
      <c r="F10" s="8" t="s">
        <v>84</v>
      </c>
      <c r="G10" s="8" t="s">
        <v>85</v>
      </c>
      <c r="H10" s="8" t="s">
        <v>86</v>
      </c>
      <c r="I10" s="10" t="s">
        <v>78</v>
      </c>
      <c r="J10" s="8" t="s">
        <v>40</v>
      </c>
      <c r="K10" s="8" t="s">
        <v>41</v>
      </c>
    </row>
    <row r="11" spans="1:11" ht="23.25" customHeight="1">
      <c r="A11" s="11" t="s">
        <v>87</v>
      </c>
      <c r="B11" s="11" t="s">
        <v>88</v>
      </c>
      <c r="C11" s="12">
        <v>46327</v>
      </c>
      <c r="D11" s="12">
        <v>46356</v>
      </c>
      <c r="E11" s="11" t="str">
        <f t="shared" ca="1" si="0"/>
        <v>Sắp diễn ra</v>
      </c>
      <c r="F11" s="11" t="s">
        <v>89</v>
      </c>
      <c r="G11" s="11" t="s">
        <v>37</v>
      </c>
      <c r="H11" s="11" t="s">
        <v>90</v>
      </c>
      <c r="I11" s="13" t="s">
        <v>91</v>
      </c>
      <c r="J11" s="11" t="s">
        <v>40</v>
      </c>
      <c r="K11" s="11" t="s">
        <v>92</v>
      </c>
    </row>
    <row r="12" spans="1:11" ht="15" customHeight="1">
      <c r="A12" s="11" t="s">
        <v>93</v>
      </c>
      <c r="B12" s="11" t="s">
        <v>94</v>
      </c>
      <c r="C12" s="12">
        <v>46353</v>
      </c>
      <c r="D12" s="12">
        <v>46358</v>
      </c>
      <c r="E12" s="11" t="str">
        <f t="shared" ca="1" si="0"/>
        <v>Sắp diễn ra</v>
      </c>
      <c r="F12" s="11" t="s">
        <v>95</v>
      </c>
      <c r="G12" s="11" t="s">
        <v>37</v>
      </c>
      <c r="H12" s="11" t="s">
        <v>96</v>
      </c>
      <c r="I12" s="13" t="s">
        <v>97</v>
      </c>
      <c r="J12" s="11" t="s">
        <v>40</v>
      </c>
      <c r="K12" s="11" t="s">
        <v>98</v>
      </c>
    </row>
    <row r="13" spans="1:11" ht="23.25" customHeight="1">
      <c r="A13" s="8" t="s">
        <v>99</v>
      </c>
      <c r="B13" s="8" t="s">
        <v>88</v>
      </c>
      <c r="C13" s="9">
        <v>46032</v>
      </c>
      <c r="D13" s="9">
        <v>46033</v>
      </c>
      <c r="E13" s="8" t="str">
        <f t="shared" ca="1" si="0"/>
        <v>Đã diễn ra</v>
      </c>
      <c r="F13" s="8" t="s">
        <v>100</v>
      </c>
      <c r="G13" s="8" t="s">
        <v>101</v>
      </c>
      <c r="H13" s="8" t="s">
        <v>102</v>
      </c>
      <c r="I13" s="10" t="s">
        <v>103</v>
      </c>
      <c r="J13" s="8" t="s">
        <v>40</v>
      </c>
      <c r="K13" s="8" t="s">
        <v>41</v>
      </c>
    </row>
    <row r="14" spans="1:11" ht="23.25" customHeight="1">
      <c r="A14" s="8" t="s">
        <v>104</v>
      </c>
      <c r="B14" s="8" t="s">
        <v>50</v>
      </c>
      <c r="C14" s="9">
        <v>46207</v>
      </c>
      <c r="D14" s="9">
        <v>46207</v>
      </c>
      <c r="E14" s="8" t="str">
        <f t="shared" ca="1" si="0"/>
        <v>Đã diễn ra</v>
      </c>
      <c r="F14" s="8" t="s">
        <v>105</v>
      </c>
      <c r="G14" s="8" t="s">
        <v>106</v>
      </c>
      <c r="H14" s="8" t="s">
        <v>107</v>
      </c>
      <c r="I14" s="10" t="s">
        <v>108</v>
      </c>
      <c r="J14" s="8" t="s">
        <v>40</v>
      </c>
      <c r="K14" s="8" t="s">
        <v>41</v>
      </c>
    </row>
    <row r="15" spans="1:11" ht="15" customHeight="1">
      <c r="A15" s="8" t="s">
        <v>109</v>
      </c>
      <c r="B15" s="8" t="s">
        <v>75</v>
      </c>
      <c r="C15" s="9">
        <v>46249</v>
      </c>
      <c r="D15" s="9">
        <v>46249</v>
      </c>
      <c r="E15" s="8" t="str">
        <f t="shared" ca="1" si="0"/>
        <v>Đã diễn ra</v>
      </c>
      <c r="F15" s="8" t="s">
        <v>95</v>
      </c>
      <c r="G15" s="8" t="s">
        <v>52</v>
      </c>
      <c r="H15" s="8"/>
      <c r="I15" s="10" t="s">
        <v>73</v>
      </c>
      <c r="J15" s="8" t="s">
        <v>55</v>
      </c>
      <c r="K15" s="8" t="s">
        <v>41</v>
      </c>
    </row>
    <row r="16" spans="1:11" ht="23.25" customHeight="1">
      <c r="A16" s="8" t="s">
        <v>110</v>
      </c>
      <c r="B16" s="8" t="s">
        <v>111</v>
      </c>
      <c r="C16" s="9">
        <v>46268</v>
      </c>
      <c r="D16" s="9">
        <v>46278</v>
      </c>
      <c r="E16" s="8" t="str">
        <f t="shared" ca="1" si="0"/>
        <v>Đã diễn ra</v>
      </c>
      <c r="F16" s="8" t="s">
        <v>112</v>
      </c>
      <c r="G16" s="8" t="s">
        <v>113</v>
      </c>
      <c r="H16" s="8" t="s">
        <v>114</v>
      </c>
      <c r="I16" s="10" t="s">
        <v>115</v>
      </c>
      <c r="J16" s="8" t="s">
        <v>40</v>
      </c>
      <c r="K16" s="8" t="s">
        <v>41</v>
      </c>
    </row>
    <row r="17" spans="1:11" ht="34.5" customHeight="1">
      <c r="A17" s="8" t="s">
        <v>116</v>
      </c>
      <c r="B17" s="8" t="s">
        <v>117</v>
      </c>
      <c r="C17" s="9">
        <v>46276</v>
      </c>
      <c r="D17" s="9">
        <v>46285</v>
      </c>
      <c r="E17" s="8" t="str">
        <f t="shared" ca="1" si="0"/>
        <v>Đã diễn ra</v>
      </c>
      <c r="F17" s="8" t="s">
        <v>118</v>
      </c>
      <c r="G17" s="8" t="s">
        <v>119</v>
      </c>
      <c r="H17" s="8" t="s">
        <v>120</v>
      </c>
      <c r="I17" s="10" t="s">
        <v>121</v>
      </c>
      <c r="J17" s="8" t="s">
        <v>40</v>
      </c>
      <c r="K17" s="8" t="s">
        <v>41</v>
      </c>
    </row>
    <row r="18" spans="1:11" ht="23.25" customHeight="1">
      <c r="A18" s="8" t="s">
        <v>122</v>
      </c>
      <c r="B18" s="8" t="s">
        <v>123</v>
      </c>
      <c r="C18" s="9">
        <v>46282</v>
      </c>
      <c r="D18" s="9">
        <v>46284</v>
      </c>
      <c r="E18" s="8" t="str">
        <f t="shared" ca="1" si="0"/>
        <v>Đã diễn ra</v>
      </c>
      <c r="F18" s="8" t="s">
        <v>124</v>
      </c>
      <c r="G18" s="8" t="s">
        <v>119</v>
      </c>
      <c r="H18" s="8" t="s">
        <v>125</v>
      </c>
      <c r="I18" s="10" t="s">
        <v>126</v>
      </c>
      <c r="J18" s="8" t="s">
        <v>40</v>
      </c>
      <c r="K18" s="8" t="s">
        <v>41</v>
      </c>
    </row>
    <row r="19" spans="1:11" ht="23.25" customHeight="1">
      <c r="A19" s="8" t="s">
        <v>127</v>
      </c>
      <c r="B19" s="8" t="s">
        <v>94</v>
      </c>
      <c r="C19" s="9">
        <v>46283</v>
      </c>
      <c r="D19" s="9">
        <v>46291</v>
      </c>
      <c r="E19" s="8" t="str">
        <f t="shared" ca="1" si="0"/>
        <v>Đã diễn ra</v>
      </c>
      <c r="F19" s="8" t="s">
        <v>128</v>
      </c>
      <c r="G19" s="8" t="s">
        <v>59</v>
      </c>
      <c r="H19" s="8" t="s">
        <v>129</v>
      </c>
      <c r="I19" s="10" t="s">
        <v>130</v>
      </c>
      <c r="J19" s="8" t="s">
        <v>40</v>
      </c>
      <c r="K19" s="8" t="s">
        <v>41</v>
      </c>
    </row>
  </sheetData>
  <autoFilter ref="A1:K19" xr:uid="{00000000-0009-0000-0000-000001000000}"/>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 ref="I12" r:id="rId11" xr:uid="{00000000-0004-0000-0100-00000A000000}"/>
    <hyperlink ref="I13" r:id="rId12" xr:uid="{00000000-0004-0000-0100-00000B000000}"/>
    <hyperlink ref="I14" r:id="rId13" xr:uid="{00000000-0004-0000-0100-00000C000000}"/>
    <hyperlink ref="I15" r:id="rId14" xr:uid="{00000000-0004-0000-0100-00000D000000}"/>
    <hyperlink ref="I16" r:id="rId15" xr:uid="{00000000-0004-0000-0100-00000E000000}"/>
    <hyperlink ref="I17" r:id="rId16" xr:uid="{00000000-0004-0000-0100-00000F000000}"/>
    <hyperlink ref="I18" r:id="rId17" xr:uid="{00000000-0004-0000-0100-000010000000}"/>
    <hyperlink ref="I19" r:id="rId18" xr:uid="{00000000-0004-0000-0100-000011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
  <sheetViews>
    <sheetView zoomScaleNormal="100" workbookViewId="0">
      <pane xSplit="1" ySplit="1" topLeftCell="B2" activePane="bottomRight" state="frozen"/>
      <selection pane="topRight" activeCell="B1" sqref="B1"/>
      <selection pane="bottomLeft" activeCell="A2" sqref="A2"/>
      <selection pane="bottomRight" activeCell="C19" sqref="C19"/>
    </sheetView>
  </sheetViews>
  <sheetFormatPr defaultColWidth="8.6640625" defaultRowHeight="14.4"/>
  <cols>
    <col min="1" max="1" width="38" customWidth="1"/>
    <col min="2" max="2" width="20" customWidth="1"/>
    <col min="3" max="3" width="36" customWidth="1"/>
    <col min="4" max="5" width="26" customWidth="1"/>
    <col min="6" max="6" width="34" customWidth="1"/>
    <col min="7" max="7" width="52" customWidth="1"/>
    <col min="8" max="8" width="24" customWidth="1"/>
    <col min="9" max="9" width="32" customWidth="1"/>
    <col min="10" max="10" width="60" customWidth="1"/>
    <col min="11" max="11" width="50" customWidth="1"/>
    <col min="12" max="12" width="24" customWidth="1"/>
  </cols>
  <sheetData>
    <row r="1" spans="1:12" ht="30" customHeight="1">
      <c r="A1" s="7" t="s">
        <v>131</v>
      </c>
      <c r="B1" s="7" t="s">
        <v>132</v>
      </c>
      <c r="C1" s="7" t="s">
        <v>133</v>
      </c>
      <c r="D1" s="7" t="s">
        <v>134</v>
      </c>
      <c r="E1" s="7" t="s">
        <v>29</v>
      </c>
      <c r="F1" s="7" t="s">
        <v>135</v>
      </c>
      <c r="G1" s="7" t="s">
        <v>136</v>
      </c>
      <c r="H1" s="7" t="s">
        <v>32</v>
      </c>
      <c r="I1" s="7" t="s">
        <v>33</v>
      </c>
      <c r="J1" s="7" t="s">
        <v>137</v>
      </c>
      <c r="K1" s="7" t="s">
        <v>138</v>
      </c>
      <c r="L1" s="7" t="s">
        <v>139</v>
      </c>
    </row>
    <row r="2" spans="1:12" ht="23.25" customHeight="1">
      <c r="A2" s="8" t="s">
        <v>140</v>
      </c>
      <c r="B2" s="8" t="s">
        <v>141</v>
      </c>
      <c r="C2" s="8" t="s">
        <v>142</v>
      </c>
      <c r="D2" s="8" t="s">
        <v>143</v>
      </c>
      <c r="E2" s="8" t="s">
        <v>144</v>
      </c>
      <c r="F2" s="8" t="s">
        <v>145</v>
      </c>
      <c r="G2" s="10" t="s">
        <v>146</v>
      </c>
      <c r="H2" s="8" t="s">
        <v>147</v>
      </c>
      <c r="I2" s="8" t="s">
        <v>41</v>
      </c>
      <c r="J2" s="8" t="s">
        <v>148</v>
      </c>
      <c r="K2" s="10" t="s">
        <v>146</v>
      </c>
      <c r="L2" s="8" t="s">
        <v>40</v>
      </c>
    </row>
    <row r="3" spans="1:12" ht="23.25" customHeight="1">
      <c r="A3" s="8" t="s">
        <v>149</v>
      </c>
      <c r="B3" s="8" t="s">
        <v>150</v>
      </c>
      <c r="C3" s="8" t="s">
        <v>151</v>
      </c>
      <c r="D3" s="8" t="s">
        <v>152</v>
      </c>
      <c r="E3" s="8" t="s">
        <v>153</v>
      </c>
      <c r="F3" s="8" t="s">
        <v>154</v>
      </c>
      <c r="G3" s="10" t="s">
        <v>155</v>
      </c>
      <c r="H3" s="8" t="s">
        <v>156</v>
      </c>
      <c r="I3" s="8" t="s">
        <v>41</v>
      </c>
      <c r="J3" s="8" t="s">
        <v>157</v>
      </c>
      <c r="K3" s="10" t="s">
        <v>158</v>
      </c>
      <c r="L3" s="8" t="s">
        <v>159</v>
      </c>
    </row>
    <row r="4" spans="1:12" ht="23.25" customHeight="1">
      <c r="A4" s="8" t="s">
        <v>160</v>
      </c>
      <c r="B4" s="8" t="s">
        <v>161</v>
      </c>
      <c r="C4" s="8" t="s">
        <v>162</v>
      </c>
      <c r="D4" s="8" t="s">
        <v>163</v>
      </c>
      <c r="E4" s="8" t="s">
        <v>164</v>
      </c>
      <c r="F4" s="8" t="s">
        <v>165</v>
      </c>
      <c r="G4" s="10" t="s">
        <v>166</v>
      </c>
      <c r="H4" s="8" t="s">
        <v>167</v>
      </c>
      <c r="I4" s="8" t="s">
        <v>41</v>
      </c>
      <c r="J4" s="8" t="s">
        <v>168</v>
      </c>
      <c r="K4" s="10" t="s">
        <v>166</v>
      </c>
      <c r="L4" s="8" t="s">
        <v>169</v>
      </c>
    </row>
    <row r="5" spans="1:12" ht="23.25" customHeight="1">
      <c r="A5" s="8" t="s">
        <v>170</v>
      </c>
      <c r="B5" s="8" t="s">
        <v>171</v>
      </c>
      <c r="C5" s="8" t="s">
        <v>172</v>
      </c>
      <c r="D5" s="8" t="s">
        <v>173</v>
      </c>
      <c r="E5" s="8" t="s">
        <v>143</v>
      </c>
      <c r="F5" s="8" t="s">
        <v>174</v>
      </c>
      <c r="G5" s="10" t="s">
        <v>166</v>
      </c>
      <c r="H5" s="8" t="s">
        <v>167</v>
      </c>
      <c r="I5" s="8" t="s">
        <v>41</v>
      </c>
      <c r="J5" s="8" t="s">
        <v>175</v>
      </c>
      <c r="K5" s="10" t="s">
        <v>166</v>
      </c>
      <c r="L5" s="8" t="s">
        <v>169</v>
      </c>
    </row>
    <row r="6" spans="1:12" ht="23.25" customHeight="1">
      <c r="A6" s="8" t="s">
        <v>176</v>
      </c>
      <c r="B6" s="8" t="s">
        <v>177</v>
      </c>
      <c r="C6" s="8" t="s">
        <v>178</v>
      </c>
      <c r="D6" s="8" t="s">
        <v>143</v>
      </c>
      <c r="E6" s="8" t="s">
        <v>179</v>
      </c>
      <c r="F6" s="8" t="s">
        <v>180</v>
      </c>
      <c r="G6" s="10" t="s">
        <v>181</v>
      </c>
      <c r="H6" s="8" t="s">
        <v>182</v>
      </c>
      <c r="I6" s="8" t="s">
        <v>41</v>
      </c>
      <c r="J6" s="8" t="s">
        <v>183</v>
      </c>
      <c r="K6" s="10" t="s">
        <v>166</v>
      </c>
      <c r="L6" s="8" t="s">
        <v>169</v>
      </c>
    </row>
    <row r="7" spans="1:12" ht="15" customHeight="1">
      <c r="A7" s="8" t="s">
        <v>184</v>
      </c>
      <c r="B7" s="8" t="s">
        <v>185</v>
      </c>
      <c r="C7" s="8" t="s">
        <v>186</v>
      </c>
      <c r="D7" s="8" t="s">
        <v>187</v>
      </c>
      <c r="E7" s="8" t="s">
        <v>101</v>
      </c>
      <c r="F7" s="8" t="s">
        <v>188</v>
      </c>
      <c r="G7" s="10" t="s">
        <v>181</v>
      </c>
      <c r="H7" s="8" t="s">
        <v>182</v>
      </c>
      <c r="I7" s="8" t="s">
        <v>41</v>
      </c>
      <c r="J7" s="8" t="s">
        <v>189</v>
      </c>
      <c r="K7" s="10" t="s">
        <v>190</v>
      </c>
      <c r="L7" s="8" t="s">
        <v>182</v>
      </c>
    </row>
    <row r="8" spans="1:12" ht="15" customHeight="1">
      <c r="A8" s="8" t="s">
        <v>191</v>
      </c>
      <c r="B8" s="8" t="s">
        <v>192</v>
      </c>
      <c r="C8" s="8" t="s">
        <v>193</v>
      </c>
      <c r="D8" s="8" t="s">
        <v>194</v>
      </c>
      <c r="E8" s="8" t="s">
        <v>101</v>
      </c>
      <c r="F8" s="8"/>
      <c r="G8" s="10" t="s">
        <v>181</v>
      </c>
      <c r="H8" s="8" t="s">
        <v>182</v>
      </c>
      <c r="I8" s="8" t="s">
        <v>41</v>
      </c>
      <c r="J8" s="8" t="s">
        <v>195</v>
      </c>
      <c r="K8" s="10" t="s">
        <v>181</v>
      </c>
      <c r="L8" s="8" t="s">
        <v>182</v>
      </c>
    </row>
    <row r="9" spans="1:12" ht="15" customHeight="1">
      <c r="A9" s="8" t="s">
        <v>196</v>
      </c>
      <c r="B9" s="8" t="s">
        <v>192</v>
      </c>
      <c r="C9" s="8" t="s">
        <v>197</v>
      </c>
      <c r="D9" s="8" t="s">
        <v>143</v>
      </c>
      <c r="E9" s="8" t="s">
        <v>143</v>
      </c>
      <c r="F9" s="8"/>
      <c r="G9" s="10" t="s">
        <v>181</v>
      </c>
      <c r="H9" s="8" t="s">
        <v>182</v>
      </c>
      <c r="I9" s="8" t="s">
        <v>41</v>
      </c>
      <c r="J9" s="8" t="s">
        <v>198</v>
      </c>
      <c r="K9" s="10" t="s">
        <v>199</v>
      </c>
      <c r="L9" s="8" t="s">
        <v>182</v>
      </c>
    </row>
    <row r="10" spans="1:12" ht="23.25" customHeight="1">
      <c r="A10" s="8" t="s">
        <v>200</v>
      </c>
      <c r="B10" s="8" t="s">
        <v>201</v>
      </c>
      <c r="C10" s="8" t="s">
        <v>202</v>
      </c>
      <c r="D10" s="8" t="s">
        <v>187</v>
      </c>
      <c r="E10" s="8" t="s">
        <v>164</v>
      </c>
      <c r="F10" s="8" t="s">
        <v>203</v>
      </c>
      <c r="G10" s="10" t="s">
        <v>181</v>
      </c>
      <c r="H10" s="8" t="s">
        <v>182</v>
      </c>
      <c r="I10" s="8" t="s">
        <v>41</v>
      </c>
      <c r="J10" s="8" t="s">
        <v>204</v>
      </c>
      <c r="K10" s="10" t="s">
        <v>190</v>
      </c>
      <c r="L10" s="8" t="s">
        <v>182</v>
      </c>
    </row>
    <row r="11" spans="1:12" ht="15" customHeight="1">
      <c r="A11" s="11" t="s">
        <v>205</v>
      </c>
      <c r="B11" s="11" t="s">
        <v>192</v>
      </c>
      <c r="C11" s="11" t="s">
        <v>143</v>
      </c>
      <c r="D11" s="8" t="s">
        <v>187</v>
      </c>
      <c r="E11" s="11" t="s">
        <v>143</v>
      </c>
      <c r="F11" s="11" t="s">
        <v>206</v>
      </c>
      <c r="G11" s="13" t="s">
        <v>199</v>
      </c>
      <c r="H11" s="11" t="s">
        <v>182</v>
      </c>
      <c r="I11" s="11" t="s">
        <v>207</v>
      </c>
      <c r="J11" s="11" t="s">
        <v>208</v>
      </c>
      <c r="K11" s="13" t="s">
        <v>199</v>
      </c>
      <c r="L11" s="11" t="s">
        <v>182</v>
      </c>
    </row>
    <row r="12" spans="1:12" ht="15" customHeight="1">
      <c r="A12" s="11" t="s">
        <v>209</v>
      </c>
      <c r="B12" s="11" t="s">
        <v>192</v>
      </c>
      <c r="C12" s="11" t="s">
        <v>143</v>
      </c>
      <c r="D12" s="11" t="s">
        <v>529</v>
      </c>
      <c r="E12" s="11" t="s">
        <v>101</v>
      </c>
      <c r="F12" s="11"/>
      <c r="G12" s="13" t="s">
        <v>199</v>
      </c>
      <c r="H12" s="11" t="s">
        <v>182</v>
      </c>
      <c r="I12" s="11" t="s">
        <v>207</v>
      </c>
      <c r="J12" s="11" t="s">
        <v>210</v>
      </c>
      <c r="K12" s="13" t="s">
        <v>199</v>
      </c>
      <c r="L12" s="11" t="s">
        <v>182</v>
      </c>
    </row>
    <row r="13" spans="1:12" ht="23.25" customHeight="1">
      <c r="A13" s="11" t="s">
        <v>211</v>
      </c>
      <c r="B13" s="11" t="s">
        <v>177</v>
      </c>
      <c r="C13" s="11" t="s">
        <v>212</v>
      </c>
      <c r="D13" s="8" t="s">
        <v>187</v>
      </c>
      <c r="E13" s="11">
        <v>40000</v>
      </c>
      <c r="F13" s="11" t="s">
        <v>213</v>
      </c>
      <c r="G13" s="11"/>
      <c r="H13" s="11" t="s">
        <v>13</v>
      </c>
      <c r="I13" s="11" t="s">
        <v>214</v>
      </c>
      <c r="J13" s="11" t="s">
        <v>215</v>
      </c>
      <c r="K13" s="11"/>
      <c r="L13" s="11" t="s">
        <v>216</v>
      </c>
    </row>
    <row r="14" spans="1:12" ht="23.25" customHeight="1">
      <c r="A14" s="11" t="s">
        <v>217</v>
      </c>
      <c r="B14" s="11" t="s">
        <v>177</v>
      </c>
      <c r="C14" s="11" t="s">
        <v>218</v>
      </c>
      <c r="D14" s="8" t="s">
        <v>187</v>
      </c>
      <c r="E14" s="15" t="s">
        <v>530</v>
      </c>
      <c r="F14" s="11" t="s">
        <v>213</v>
      </c>
      <c r="G14" s="11"/>
      <c r="H14" s="11" t="s">
        <v>13</v>
      </c>
      <c r="I14" s="11" t="s">
        <v>214</v>
      </c>
      <c r="J14" s="11" t="s">
        <v>219</v>
      </c>
      <c r="K14" s="11"/>
      <c r="L14" s="11" t="s">
        <v>216</v>
      </c>
    </row>
    <row r="15" spans="1:12" ht="23.25" customHeight="1">
      <c r="A15" s="11" t="s">
        <v>220</v>
      </c>
      <c r="B15" s="11" t="s">
        <v>192</v>
      </c>
      <c r="C15" s="11" t="s">
        <v>221</v>
      </c>
      <c r="D15" t="s">
        <v>534</v>
      </c>
      <c r="E15" s="14" t="s">
        <v>531</v>
      </c>
      <c r="F15" s="11" t="s">
        <v>213</v>
      </c>
      <c r="G15" s="11"/>
      <c r="H15" s="11" t="s">
        <v>13</v>
      </c>
      <c r="I15" s="11" t="s">
        <v>214</v>
      </c>
      <c r="J15" s="11" t="s">
        <v>222</v>
      </c>
      <c r="K15" s="11"/>
      <c r="L15" s="11" t="s">
        <v>216</v>
      </c>
    </row>
    <row r="16" spans="1:12" ht="23.25" customHeight="1">
      <c r="A16" s="11" t="s">
        <v>223</v>
      </c>
      <c r="B16" s="11" t="s">
        <v>192</v>
      </c>
      <c r="C16" s="11" t="s">
        <v>224</v>
      </c>
      <c r="D16" s="16" t="s">
        <v>535</v>
      </c>
      <c r="E16" s="14" t="s">
        <v>532</v>
      </c>
      <c r="F16" s="11" t="s">
        <v>213</v>
      </c>
      <c r="G16" s="11"/>
      <c r="H16" s="11" t="s">
        <v>13</v>
      </c>
      <c r="I16" s="11" t="s">
        <v>214</v>
      </c>
      <c r="J16" s="11" t="s">
        <v>225</v>
      </c>
      <c r="K16" s="11"/>
      <c r="L16" s="11" t="s">
        <v>216</v>
      </c>
    </row>
    <row r="17" spans="5:5">
      <c r="E17" s="14" t="s">
        <v>533</v>
      </c>
    </row>
  </sheetData>
  <autoFilter ref="A1:L16" xr:uid="{00000000-0009-0000-0000-000002000000}"/>
  <hyperlinks>
    <hyperlink ref="G2" r:id="rId1" xr:uid="{00000000-0004-0000-0200-000000000000}"/>
    <hyperlink ref="K2" r:id="rId2" xr:uid="{00000000-0004-0000-0200-000001000000}"/>
    <hyperlink ref="G3" r:id="rId3" xr:uid="{00000000-0004-0000-0200-000002000000}"/>
    <hyperlink ref="K3" r:id="rId4" xr:uid="{00000000-0004-0000-0200-000003000000}"/>
    <hyperlink ref="G4" r:id="rId5" xr:uid="{00000000-0004-0000-0200-000004000000}"/>
    <hyperlink ref="K4" r:id="rId6" xr:uid="{00000000-0004-0000-0200-000005000000}"/>
    <hyperlink ref="G5" r:id="rId7" xr:uid="{00000000-0004-0000-0200-000006000000}"/>
    <hyperlink ref="K5" r:id="rId8" xr:uid="{00000000-0004-0000-0200-000007000000}"/>
    <hyperlink ref="G6" r:id="rId9" xr:uid="{00000000-0004-0000-0200-000008000000}"/>
    <hyperlink ref="K6" r:id="rId10" xr:uid="{00000000-0004-0000-0200-000009000000}"/>
    <hyperlink ref="G7" r:id="rId11" xr:uid="{00000000-0004-0000-0200-00000A000000}"/>
    <hyperlink ref="K7" r:id="rId12" xr:uid="{00000000-0004-0000-0200-00000B000000}"/>
    <hyperlink ref="G8" r:id="rId13" xr:uid="{00000000-0004-0000-0200-00000C000000}"/>
    <hyperlink ref="K8" r:id="rId14" xr:uid="{00000000-0004-0000-0200-00000D000000}"/>
    <hyperlink ref="G9" r:id="rId15" xr:uid="{00000000-0004-0000-0200-00000E000000}"/>
    <hyperlink ref="K9" r:id="rId16" xr:uid="{00000000-0004-0000-0200-00000F000000}"/>
    <hyperlink ref="G10" r:id="rId17" xr:uid="{00000000-0004-0000-0200-000010000000}"/>
    <hyperlink ref="K10" r:id="rId18" xr:uid="{00000000-0004-0000-0200-000011000000}"/>
    <hyperlink ref="G11" r:id="rId19" xr:uid="{00000000-0004-0000-0200-000012000000}"/>
    <hyperlink ref="K11" r:id="rId20" xr:uid="{00000000-0004-0000-0200-000013000000}"/>
    <hyperlink ref="G12" r:id="rId21" xr:uid="{00000000-0004-0000-0200-000014000000}"/>
    <hyperlink ref="K12" r:id="rId22" xr:uid="{00000000-0004-0000-0200-000015000000}"/>
    <hyperlink ref="E14" r:id="rId23" display="https://www.facebook.com/hoaloprisonrelic/posts/th%C3%B4ng-b%C3%A1o/977216631327348/" xr:uid="{8DEEEB88-EACD-47DE-81F3-3E7713367634}"/>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9"/>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cols>
    <col min="1" max="1" width="38" customWidth="1"/>
    <col min="2" max="3" width="30" customWidth="1"/>
    <col min="4" max="4" width="28" customWidth="1"/>
    <col min="5" max="5" width="30" customWidth="1"/>
    <col min="6" max="6" width="38" customWidth="1"/>
    <col min="7" max="7" width="52" customWidth="1"/>
    <col min="8" max="8" width="18" customWidth="1"/>
    <col min="9" max="9" width="34" customWidth="1"/>
    <col min="10" max="10" width="60" customWidth="1"/>
    <col min="11" max="11" width="50" customWidth="1"/>
    <col min="12" max="12" width="24" customWidth="1"/>
  </cols>
  <sheetData>
    <row r="1" spans="1:12" ht="30" customHeight="1">
      <c r="A1" s="7" t="s">
        <v>226</v>
      </c>
      <c r="B1" s="7" t="s">
        <v>227</v>
      </c>
      <c r="C1" s="7" t="s">
        <v>228</v>
      </c>
      <c r="D1" s="7" t="s">
        <v>134</v>
      </c>
      <c r="E1" s="7" t="s">
        <v>29</v>
      </c>
      <c r="F1" s="7" t="s">
        <v>135</v>
      </c>
      <c r="G1" s="7" t="s">
        <v>136</v>
      </c>
      <c r="H1" s="7" t="s">
        <v>32</v>
      </c>
      <c r="I1" s="7" t="s">
        <v>33</v>
      </c>
      <c r="J1" s="7" t="s">
        <v>137</v>
      </c>
      <c r="K1" s="7" t="s">
        <v>138</v>
      </c>
      <c r="L1" s="7" t="s">
        <v>139</v>
      </c>
    </row>
    <row r="2" spans="1:12" ht="34.5" customHeight="1">
      <c r="A2" s="11" t="s">
        <v>229</v>
      </c>
      <c r="B2" s="11" t="s">
        <v>230</v>
      </c>
      <c r="C2" s="11" t="s">
        <v>231</v>
      </c>
      <c r="D2" s="11" t="s">
        <v>232</v>
      </c>
      <c r="E2" s="11" t="s">
        <v>233</v>
      </c>
      <c r="F2" s="11" t="s">
        <v>234</v>
      </c>
      <c r="G2" s="13" t="s">
        <v>235</v>
      </c>
      <c r="H2" s="11" t="s">
        <v>156</v>
      </c>
      <c r="I2" s="11" t="s">
        <v>236</v>
      </c>
      <c r="J2" s="11" t="s">
        <v>237</v>
      </c>
      <c r="K2" s="13" t="s">
        <v>238</v>
      </c>
      <c r="L2" s="11" t="s">
        <v>159</v>
      </c>
    </row>
    <row r="3" spans="1:12" ht="15" customHeight="1">
      <c r="A3" s="8" t="s">
        <v>239</v>
      </c>
      <c r="B3" s="8" t="s">
        <v>240</v>
      </c>
      <c r="C3" s="8" t="s">
        <v>241</v>
      </c>
      <c r="D3" s="8" t="s">
        <v>143</v>
      </c>
      <c r="E3" s="8" t="s">
        <v>143</v>
      </c>
      <c r="F3" s="8" t="s">
        <v>242</v>
      </c>
      <c r="G3" s="10" t="s">
        <v>243</v>
      </c>
      <c r="H3" s="8" t="s">
        <v>40</v>
      </c>
      <c r="I3" s="8" t="s">
        <v>41</v>
      </c>
      <c r="J3" s="8" t="s">
        <v>244</v>
      </c>
      <c r="K3" s="10" t="s">
        <v>245</v>
      </c>
      <c r="L3" s="8" t="s">
        <v>159</v>
      </c>
    </row>
    <row r="4" spans="1:12" ht="15" customHeight="1">
      <c r="A4" s="8" t="s">
        <v>246</v>
      </c>
      <c r="B4" s="8" t="s">
        <v>240</v>
      </c>
      <c r="C4" s="8" t="s">
        <v>247</v>
      </c>
      <c r="D4" s="8" t="s">
        <v>143</v>
      </c>
      <c r="E4" s="8" t="s">
        <v>143</v>
      </c>
      <c r="F4" s="8"/>
      <c r="G4" s="10" t="s">
        <v>243</v>
      </c>
      <c r="H4" s="8" t="s">
        <v>40</v>
      </c>
      <c r="I4" s="8" t="s">
        <v>41</v>
      </c>
      <c r="J4" s="8" t="s">
        <v>248</v>
      </c>
      <c r="K4" s="10" t="s">
        <v>243</v>
      </c>
      <c r="L4" s="8" t="s">
        <v>249</v>
      </c>
    </row>
    <row r="5" spans="1:12" ht="15" customHeight="1">
      <c r="A5" s="8" t="s">
        <v>250</v>
      </c>
      <c r="B5" s="8" t="s">
        <v>240</v>
      </c>
      <c r="C5" s="8" t="s">
        <v>251</v>
      </c>
      <c r="D5" s="8" t="s">
        <v>143</v>
      </c>
      <c r="E5" s="8" t="s">
        <v>143</v>
      </c>
      <c r="F5" s="8"/>
      <c r="G5" s="10" t="s">
        <v>243</v>
      </c>
      <c r="H5" s="8" t="s">
        <v>40</v>
      </c>
      <c r="I5" s="8" t="s">
        <v>41</v>
      </c>
      <c r="J5" s="8" t="s">
        <v>252</v>
      </c>
      <c r="K5" s="10" t="s">
        <v>243</v>
      </c>
      <c r="L5" s="8" t="s">
        <v>249</v>
      </c>
    </row>
    <row r="6" spans="1:12" ht="15" customHeight="1">
      <c r="A6" s="8" t="s">
        <v>253</v>
      </c>
      <c r="B6" s="8" t="s">
        <v>240</v>
      </c>
      <c r="C6" s="8" t="s">
        <v>254</v>
      </c>
      <c r="D6" s="8" t="s">
        <v>143</v>
      </c>
      <c r="E6" s="8" t="s">
        <v>143</v>
      </c>
      <c r="F6" s="8"/>
      <c r="G6" s="10" t="s">
        <v>243</v>
      </c>
      <c r="H6" s="8" t="s">
        <v>40</v>
      </c>
      <c r="I6" s="8" t="s">
        <v>41</v>
      </c>
      <c r="J6" s="8" t="s">
        <v>255</v>
      </c>
      <c r="K6" s="10" t="s">
        <v>243</v>
      </c>
      <c r="L6" s="8" t="s">
        <v>249</v>
      </c>
    </row>
    <row r="7" spans="1:12" ht="15" customHeight="1">
      <c r="A7" s="8" t="s">
        <v>256</v>
      </c>
      <c r="B7" s="8" t="s">
        <v>240</v>
      </c>
      <c r="C7" s="8" t="s">
        <v>257</v>
      </c>
      <c r="D7" s="8" t="s">
        <v>143</v>
      </c>
      <c r="E7" s="8" t="s">
        <v>143</v>
      </c>
      <c r="F7" s="8"/>
      <c r="G7" s="10" t="s">
        <v>243</v>
      </c>
      <c r="H7" s="8" t="s">
        <v>40</v>
      </c>
      <c r="I7" s="8" t="s">
        <v>41</v>
      </c>
      <c r="J7" s="8" t="s">
        <v>258</v>
      </c>
      <c r="K7" s="10" t="s">
        <v>259</v>
      </c>
      <c r="L7" s="8" t="s">
        <v>159</v>
      </c>
    </row>
    <row r="8" spans="1:12" ht="15" customHeight="1">
      <c r="A8" s="8" t="s">
        <v>260</v>
      </c>
      <c r="B8" s="8" t="s">
        <v>240</v>
      </c>
      <c r="C8" s="8" t="s">
        <v>261</v>
      </c>
      <c r="D8" s="8" t="s">
        <v>143</v>
      </c>
      <c r="E8" s="8" t="s">
        <v>143</v>
      </c>
      <c r="F8" s="8"/>
      <c r="G8" s="10" t="s">
        <v>243</v>
      </c>
      <c r="H8" s="8" t="s">
        <v>40</v>
      </c>
      <c r="I8" s="8" t="s">
        <v>41</v>
      </c>
      <c r="J8" s="8" t="s">
        <v>262</v>
      </c>
      <c r="K8" s="10" t="s">
        <v>243</v>
      </c>
      <c r="L8" s="8" t="s">
        <v>249</v>
      </c>
    </row>
    <row r="9" spans="1:12" ht="15" customHeight="1">
      <c r="A9" s="8" t="s">
        <v>263</v>
      </c>
      <c r="B9" s="8" t="s">
        <v>240</v>
      </c>
      <c r="C9" s="8" t="s">
        <v>264</v>
      </c>
      <c r="D9" s="8" t="s">
        <v>143</v>
      </c>
      <c r="E9" s="8" t="s">
        <v>143</v>
      </c>
      <c r="F9" s="8"/>
      <c r="G9" s="10" t="s">
        <v>243</v>
      </c>
      <c r="H9" s="8" t="s">
        <v>40</v>
      </c>
      <c r="I9" s="8" t="s">
        <v>41</v>
      </c>
      <c r="J9" s="8" t="s">
        <v>265</v>
      </c>
      <c r="K9" s="10" t="s">
        <v>243</v>
      </c>
      <c r="L9" s="8" t="s">
        <v>249</v>
      </c>
    </row>
    <row r="10" spans="1:12" ht="15" customHeight="1">
      <c r="A10" s="8" t="s">
        <v>266</v>
      </c>
      <c r="B10" s="8" t="s">
        <v>240</v>
      </c>
      <c r="C10" s="8" t="s">
        <v>267</v>
      </c>
      <c r="D10" s="8" t="s">
        <v>143</v>
      </c>
      <c r="E10" s="8" t="s">
        <v>143</v>
      </c>
      <c r="F10" s="8"/>
      <c r="G10" s="10" t="s">
        <v>243</v>
      </c>
      <c r="H10" s="8" t="s">
        <v>40</v>
      </c>
      <c r="I10" s="8" t="s">
        <v>41</v>
      </c>
      <c r="J10" s="8" t="s">
        <v>268</v>
      </c>
      <c r="K10" s="10" t="s">
        <v>243</v>
      </c>
      <c r="L10" s="8" t="s">
        <v>249</v>
      </c>
    </row>
    <row r="11" spans="1:12" ht="15" customHeight="1">
      <c r="A11" s="8" t="s">
        <v>269</v>
      </c>
      <c r="B11" s="8" t="s">
        <v>240</v>
      </c>
      <c r="C11" s="8" t="s">
        <v>270</v>
      </c>
      <c r="D11" s="8" t="s">
        <v>143</v>
      </c>
      <c r="E11" s="8" t="s">
        <v>143</v>
      </c>
      <c r="F11" s="8"/>
      <c r="G11" s="10" t="s">
        <v>243</v>
      </c>
      <c r="H11" s="8" t="s">
        <v>40</v>
      </c>
      <c r="I11" s="8" t="s">
        <v>41</v>
      </c>
      <c r="J11" s="8" t="s">
        <v>271</v>
      </c>
      <c r="K11" s="10" t="s">
        <v>243</v>
      </c>
      <c r="L11" s="8" t="s">
        <v>249</v>
      </c>
    </row>
    <row r="12" spans="1:12" ht="15" customHeight="1">
      <c r="A12" s="8" t="s">
        <v>272</v>
      </c>
      <c r="B12" s="8" t="s">
        <v>240</v>
      </c>
      <c r="C12" s="8" t="s">
        <v>273</v>
      </c>
      <c r="D12" s="8" t="s">
        <v>143</v>
      </c>
      <c r="E12" s="8" t="s">
        <v>143</v>
      </c>
      <c r="F12" s="8"/>
      <c r="G12" s="10" t="s">
        <v>243</v>
      </c>
      <c r="H12" s="8" t="s">
        <v>40</v>
      </c>
      <c r="I12" s="8" t="s">
        <v>41</v>
      </c>
      <c r="J12" s="8" t="s">
        <v>274</v>
      </c>
      <c r="K12" s="10" t="s">
        <v>243</v>
      </c>
      <c r="L12" s="8" t="s">
        <v>249</v>
      </c>
    </row>
    <row r="13" spans="1:12" ht="15" customHeight="1">
      <c r="A13" s="8" t="s">
        <v>275</v>
      </c>
      <c r="B13" s="8" t="s">
        <v>240</v>
      </c>
      <c r="C13" s="8" t="s">
        <v>276</v>
      </c>
      <c r="D13" s="8" t="s">
        <v>143</v>
      </c>
      <c r="E13" s="8" t="s">
        <v>143</v>
      </c>
      <c r="F13" s="8"/>
      <c r="G13" s="10" t="s">
        <v>243</v>
      </c>
      <c r="H13" s="8" t="s">
        <v>40</v>
      </c>
      <c r="I13" s="8" t="s">
        <v>41</v>
      </c>
      <c r="J13" s="8" t="s">
        <v>277</v>
      </c>
      <c r="K13" s="10" t="s">
        <v>243</v>
      </c>
      <c r="L13" s="8" t="s">
        <v>249</v>
      </c>
    </row>
    <row r="14" spans="1:12" ht="23.25" customHeight="1">
      <c r="A14" s="8" t="s">
        <v>278</v>
      </c>
      <c r="B14" s="8" t="s">
        <v>240</v>
      </c>
      <c r="C14" s="8" t="s">
        <v>279</v>
      </c>
      <c r="D14" s="8" t="s">
        <v>143</v>
      </c>
      <c r="E14" s="8" t="s">
        <v>143</v>
      </c>
      <c r="F14" s="8"/>
      <c r="G14" s="10" t="s">
        <v>243</v>
      </c>
      <c r="H14" s="8" t="s">
        <v>40</v>
      </c>
      <c r="I14" s="8" t="s">
        <v>41</v>
      </c>
      <c r="J14" s="8" t="s">
        <v>280</v>
      </c>
      <c r="K14" s="10" t="s">
        <v>281</v>
      </c>
      <c r="L14" s="8" t="s">
        <v>282</v>
      </c>
    </row>
    <row r="15" spans="1:12" ht="15" customHeight="1">
      <c r="A15" s="8" t="s">
        <v>283</v>
      </c>
      <c r="B15" s="8" t="s">
        <v>240</v>
      </c>
      <c r="C15" s="8" t="s">
        <v>273</v>
      </c>
      <c r="D15" s="8" t="s">
        <v>143</v>
      </c>
      <c r="E15" s="8" t="s">
        <v>143</v>
      </c>
      <c r="F15" s="8" t="s">
        <v>284</v>
      </c>
      <c r="G15" s="10" t="s">
        <v>146</v>
      </c>
      <c r="H15" s="8" t="s">
        <v>40</v>
      </c>
      <c r="I15" s="8" t="s">
        <v>41</v>
      </c>
      <c r="J15" s="8" t="s">
        <v>285</v>
      </c>
      <c r="K15" s="10" t="s">
        <v>146</v>
      </c>
      <c r="L15" s="8" t="s">
        <v>40</v>
      </c>
    </row>
    <row r="16" spans="1:12" ht="15" customHeight="1">
      <c r="A16" s="8" t="s">
        <v>286</v>
      </c>
      <c r="B16" s="8" t="s">
        <v>287</v>
      </c>
      <c r="C16" s="8" t="s">
        <v>288</v>
      </c>
      <c r="D16" s="8" t="s">
        <v>289</v>
      </c>
      <c r="E16" s="8" t="s">
        <v>101</v>
      </c>
      <c r="F16" s="8" t="s">
        <v>290</v>
      </c>
      <c r="G16" s="10" t="s">
        <v>291</v>
      </c>
      <c r="H16" s="8" t="s">
        <v>182</v>
      </c>
      <c r="I16" s="8" t="s">
        <v>41</v>
      </c>
      <c r="J16" s="8" t="s">
        <v>292</v>
      </c>
      <c r="K16" s="10" t="s">
        <v>291</v>
      </c>
      <c r="L16" s="8" t="s">
        <v>182</v>
      </c>
    </row>
    <row r="17" spans="1:12" ht="23.25" customHeight="1">
      <c r="A17" s="8" t="s">
        <v>293</v>
      </c>
      <c r="B17" s="8" t="s">
        <v>294</v>
      </c>
      <c r="C17" s="8" t="s">
        <v>295</v>
      </c>
      <c r="D17" s="8" t="s">
        <v>296</v>
      </c>
      <c r="E17" s="8" t="s">
        <v>101</v>
      </c>
      <c r="F17" s="8"/>
      <c r="G17" s="10" t="s">
        <v>291</v>
      </c>
      <c r="H17" s="8" t="s">
        <v>182</v>
      </c>
      <c r="I17" s="8" t="s">
        <v>41</v>
      </c>
      <c r="J17" s="8" t="s">
        <v>297</v>
      </c>
      <c r="K17" s="10" t="s">
        <v>291</v>
      </c>
      <c r="L17" s="8" t="s">
        <v>182</v>
      </c>
    </row>
    <row r="18" spans="1:12" ht="23.25" customHeight="1">
      <c r="A18" s="8" t="s">
        <v>298</v>
      </c>
      <c r="B18" s="8" t="s">
        <v>299</v>
      </c>
      <c r="C18" s="8" t="s">
        <v>300</v>
      </c>
      <c r="D18" s="8" t="s">
        <v>143</v>
      </c>
      <c r="E18" s="8" t="s">
        <v>301</v>
      </c>
      <c r="F18" s="8" t="s">
        <v>302</v>
      </c>
      <c r="G18" s="10" t="s">
        <v>146</v>
      </c>
      <c r="H18" s="8" t="s">
        <v>40</v>
      </c>
      <c r="I18" s="8" t="s">
        <v>41</v>
      </c>
      <c r="J18" s="8" t="s">
        <v>303</v>
      </c>
      <c r="K18" s="10" t="s">
        <v>146</v>
      </c>
      <c r="L18" s="8" t="s">
        <v>40</v>
      </c>
    </row>
    <row r="19" spans="1:12" ht="15" customHeight="1">
      <c r="A19" s="8" t="s">
        <v>304</v>
      </c>
      <c r="B19" s="8" t="s">
        <v>305</v>
      </c>
      <c r="C19" s="8" t="s">
        <v>306</v>
      </c>
      <c r="D19" s="8" t="s">
        <v>143</v>
      </c>
      <c r="E19" s="8" t="s">
        <v>301</v>
      </c>
      <c r="F19" s="8"/>
      <c r="G19" s="10" t="s">
        <v>146</v>
      </c>
      <c r="H19" s="8" t="s">
        <v>40</v>
      </c>
      <c r="I19" s="8" t="s">
        <v>41</v>
      </c>
      <c r="J19" s="8" t="s">
        <v>307</v>
      </c>
      <c r="K19" s="10" t="s">
        <v>146</v>
      </c>
      <c r="L19" s="8" t="s">
        <v>40</v>
      </c>
    </row>
  </sheetData>
  <autoFilter ref="A1:L19" xr:uid="{00000000-0009-0000-0000-000003000000}"/>
  <hyperlinks>
    <hyperlink ref="G2" r:id="rId1" xr:uid="{00000000-0004-0000-0300-000000000000}"/>
    <hyperlink ref="K2" r:id="rId2" xr:uid="{00000000-0004-0000-0300-000001000000}"/>
    <hyperlink ref="G3" r:id="rId3" xr:uid="{00000000-0004-0000-0300-000002000000}"/>
    <hyperlink ref="K3" r:id="rId4" xr:uid="{00000000-0004-0000-0300-000003000000}"/>
    <hyperlink ref="G4" r:id="rId5" xr:uid="{00000000-0004-0000-0300-000004000000}"/>
    <hyperlink ref="K4" r:id="rId6" xr:uid="{00000000-0004-0000-0300-000005000000}"/>
    <hyperlink ref="G5" r:id="rId7" xr:uid="{00000000-0004-0000-0300-000006000000}"/>
    <hyperlink ref="K5" r:id="rId8" xr:uid="{00000000-0004-0000-0300-000007000000}"/>
    <hyperlink ref="G6" r:id="rId9" xr:uid="{00000000-0004-0000-0300-000008000000}"/>
    <hyperlink ref="K6" r:id="rId10" xr:uid="{00000000-0004-0000-0300-000009000000}"/>
    <hyperlink ref="G7" r:id="rId11" xr:uid="{00000000-0004-0000-0300-00000A000000}"/>
    <hyperlink ref="K7" r:id="rId12" xr:uid="{00000000-0004-0000-0300-00000B000000}"/>
    <hyperlink ref="G8" r:id="rId13" xr:uid="{00000000-0004-0000-0300-00000C000000}"/>
    <hyperlink ref="K8" r:id="rId14" xr:uid="{00000000-0004-0000-0300-00000D000000}"/>
    <hyperlink ref="G9" r:id="rId15" xr:uid="{00000000-0004-0000-0300-00000E000000}"/>
    <hyperlink ref="K9" r:id="rId16" xr:uid="{00000000-0004-0000-0300-00000F000000}"/>
    <hyperlink ref="G10" r:id="rId17" xr:uid="{00000000-0004-0000-0300-000010000000}"/>
    <hyperlink ref="K10" r:id="rId18" xr:uid="{00000000-0004-0000-0300-000011000000}"/>
    <hyperlink ref="G11" r:id="rId19" xr:uid="{00000000-0004-0000-0300-000012000000}"/>
    <hyperlink ref="K11" r:id="rId20" xr:uid="{00000000-0004-0000-0300-000013000000}"/>
    <hyperlink ref="G12" r:id="rId21" xr:uid="{00000000-0004-0000-0300-000014000000}"/>
    <hyperlink ref="K12" r:id="rId22" xr:uid="{00000000-0004-0000-0300-000015000000}"/>
    <hyperlink ref="G13" r:id="rId23" xr:uid="{00000000-0004-0000-0300-000016000000}"/>
    <hyperlink ref="K13" r:id="rId24" xr:uid="{00000000-0004-0000-0300-000017000000}"/>
    <hyperlink ref="G14" r:id="rId25" xr:uid="{00000000-0004-0000-0300-000018000000}"/>
    <hyperlink ref="K14" r:id="rId26" xr:uid="{00000000-0004-0000-0300-000019000000}"/>
    <hyperlink ref="G15" r:id="rId27" xr:uid="{00000000-0004-0000-0300-00001A000000}"/>
    <hyperlink ref="K15" r:id="rId28" xr:uid="{00000000-0004-0000-0300-00001B000000}"/>
    <hyperlink ref="G16" r:id="rId29" xr:uid="{00000000-0004-0000-0300-00001C000000}"/>
    <hyperlink ref="K16" r:id="rId30" xr:uid="{00000000-0004-0000-0300-00001D000000}"/>
    <hyperlink ref="G17" r:id="rId31" xr:uid="{00000000-0004-0000-0300-00001E000000}"/>
    <hyperlink ref="K17" r:id="rId32" xr:uid="{00000000-0004-0000-0300-00001F000000}"/>
    <hyperlink ref="G18" r:id="rId33" xr:uid="{00000000-0004-0000-0300-000020000000}"/>
    <hyperlink ref="K18" r:id="rId34" xr:uid="{00000000-0004-0000-0300-000021000000}"/>
    <hyperlink ref="G19" r:id="rId35" xr:uid="{00000000-0004-0000-0300-000022000000}"/>
    <hyperlink ref="K19" r:id="rId36" xr:uid="{00000000-0004-0000-0300-000023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5"/>
  <sheetViews>
    <sheetView zoomScaleNormal="100" workbookViewId="0">
      <pane xSplit="1" ySplit="1" topLeftCell="B2" activePane="bottomRight" state="frozen"/>
      <selection pane="topRight" activeCell="B1" sqref="B1"/>
      <selection pane="bottomLeft" activeCell="A2" sqref="A2"/>
      <selection pane="bottomRight" activeCell="E17" sqref="E17"/>
    </sheetView>
  </sheetViews>
  <sheetFormatPr defaultColWidth="8.6640625" defaultRowHeight="14.4"/>
  <cols>
    <col min="1" max="1" width="30" customWidth="1"/>
    <col min="2" max="2" width="20" customWidth="1"/>
    <col min="3" max="3" width="40" customWidth="1"/>
    <col min="4" max="4" width="18" customWidth="1"/>
    <col min="5" max="5" width="44" customWidth="1"/>
    <col min="6" max="6" width="52" customWidth="1"/>
    <col min="7" max="7" width="16" customWidth="1"/>
    <col min="8" max="8" width="32" customWidth="1"/>
    <col min="9" max="9" width="60" customWidth="1"/>
    <col min="10" max="10" width="50" customWidth="1"/>
    <col min="11" max="11" width="24" customWidth="1"/>
  </cols>
  <sheetData>
    <row r="1" spans="1:11" ht="30" customHeight="1">
      <c r="A1" s="7" t="s">
        <v>308</v>
      </c>
      <c r="B1" s="7" t="s">
        <v>309</v>
      </c>
      <c r="C1" s="7" t="s">
        <v>133</v>
      </c>
      <c r="D1" s="7" t="s">
        <v>310</v>
      </c>
      <c r="E1" s="7" t="s">
        <v>311</v>
      </c>
      <c r="F1" s="7" t="s">
        <v>31</v>
      </c>
      <c r="G1" s="7" t="s">
        <v>32</v>
      </c>
      <c r="H1" s="7" t="s">
        <v>33</v>
      </c>
      <c r="I1" s="7" t="s">
        <v>137</v>
      </c>
      <c r="J1" s="7" t="s">
        <v>138</v>
      </c>
      <c r="K1" s="7" t="s">
        <v>139</v>
      </c>
    </row>
    <row r="2" spans="1:11" ht="23.25" customHeight="1">
      <c r="A2" s="8" t="s">
        <v>312</v>
      </c>
      <c r="B2" s="8" t="s">
        <v>313</v>
      </c>
      <c r="C2" s="8" t="s">
        <v>314</v>
      </c>
      <c r="D2" s="8" t="s">
        <v>315</v>
      </c>
      <c r="E2" s="8" t="s">
        <v>316</v>
      </c>
      <c r="F2" s="10" t="s">
        <v>317</v>
      </c>
      <c r="G2" s="8" t="s">
        <v>318</v>
      </c>
      <c r="H2" s="8" t="s">
        <v>41</v>
      </c>
      <c r="I2" s="8" t="s">
        <v>319</v>
      </c>
      <c r="J2" s="10" t="s">
        <v>317</v>
      </c>
      <c r="K2" s="8" t="s">
        <v>318</v>
      </c>
    </row>
    <row r="3" spans="1:11" ht="15" customHeight="1">
      <c r="A3" s="8" t="s">
        <v>320</v>
      </c>
      <c r="B3" s="8" t="s">
        <v>321</v>
      </c>
      <c r="C3" s="8" t="s">
        <v>322</v>
      </c>
      <c r="D3" s="8" t="s">
        <v>315</v>
      </c>
      <c r="E3" s="8" t="s">
        <v>323</v>
      </c>
      <c r="F3" s="10" t="s">
        <v>324</v>
      </c>
      <c r="G3" s="8" t="s">
        <v>182</v>
      </c>
      <c r="H3" s="8" t="s">
        <v>41</v>
      </c>
      <c r="I3" s="8" t="s">
        <v>325</v>
      </c>
      <c r="J3" s="10" t="s">
        <v>324</v>
      </c>
      <c r="K3" s="8" t="s">
        <v>182</v>
      </c>
    </row>
    <row r="4" spans="1:11" ht="23.25" customHeight="1">
      <c r="A4" s="8" t="s">
        <v>326</v>
      </c>
      <c r="B4" s="8" t="s">
        <v>327</v>
      </c>
      <c r="C4" s="8" t="s">
        <v>328</v>
      </c>
      <c r="D4" s="8" t="s">
        <v>329</v>
      </c>
      <c r="E4" s="8" t="s">
        <v>330</v>
      </c>
      <c r="F4" s="10" t="s">
        <v>324</v>
      </c>
      <c r="G4" s="8" t="s">
        <v>182</v>
      </c>
      <c r="H4" s="8" t="s">
        <v>41</v>
      </c>
      <c r="I4" s="8" t="s">
        <v>331</v>
      </c>
      <c r="J4" s="10" t="s">
        <v>324</v>
      </c>
      <c r="K4" s="8" t="s">
        <v>182</v>
      </c>
    </row>
    <row r="5" spans="1:11" ht="23.25" customHeight="1">
      <c r="A5" s="11" t="s">
        <v>332</v>
      </c>
      <c r="B5" s="11" t="s">
        <v>333</v>
      </c>
      <c r="C5" s="11" t="s">
        <v>334</v>
      </c>
      <c r="D5" s="11" t="s">
        <v>247</v>
      </c>
      <c r="E5" s="16" t="s">
        <v>538</v>
      </c>
      <c r="F5" s="13" t="s">
        <v>335</v>
      </c>
      <c r="G5" s="11" t="s">
        <v>182</v>
      </c>
      <c r="H5" s="11" t="s">
        <v>336</v>
      </c>
      <c r="I5" s="11" t="s">
        <v>337</v>
      </c>
      <c r="J5" s="13" t="s">
        <v>335</v>
      </c>
      <c r="K5" s="11" t="s">
        <v>182</v>
      </c>
    </row>
    <row r="6" spans="1:11" ht="23.25" customHeight="1">
      <c r="A6" s="8" t="s">
        <v>338</v>
      </c>
      <c r="B6" s="8" t="s">
        <v>339</v>
      </c>
      <c r="C6" s="8" t="s">
        <v>340</v>
      </c>
      <c r="D6" s="8" t="s">
        <v>341</v>
      </c>
      <c r="E6" s="8" t="s">
        <v>342</v>
      </c>
      <c r="F6" s="10" t="s">
        <v>324</v>
      </c>
      <c r="G6" s="8" t="s">
        <v>182</v>
      </c>
      <c r="H6" s="8" t="s">
        <v>41</v>
      </c>
      <c r="I6" s="8" t="s">
        <v>343</v>
      </c>
      <c r="J6" s="10" t="s">
        <v>324</v>
      </c>
      <c r="K6" s="8" t="s">
        <v>182</v>
      </c>
    </row>
    <row r="7" spans="1:11" ht="15" customHeight="1">
      <c r="A7" s="8" t="s">
        <v>344</v>
      </c>
      <c r="B7" s="8" t="s">
        <v>345</v>
      </c>
      <c r="C7" s="8" t="s">
        <v>346</v>
      </c>
      <c r="D7" s="8" t="s">
        <v>347</v>
      </c>
      <c r="E7" s="8"/>
      <c r="F7" s="10" t="s">
        <v>324</v>
      </c>
      <c r="G7" s="8" t="s">
        <v>182</v>
      </c>
      <c r="H7" s="8" t="s">
        <v>41</v>
      </c>
      <c r="I7" s="8" t="s">
        <v>348</v>
      </c>
      <c r="J7" s="10" t="s">
        <v>324</v>
      </c>
      <c r="K7" s="8" t="s">
        <v>182</v>
      </c>
    </row>
    <row r="8" spans="1:11" ht="15" customHeight="1">
      <c r="A8" s="8" t="s">
        <v>349</v>
      </c>
      <c r="B8" s="8" t="s">
        <v>313</v>
      </c>
      <c r="C8" s="8" t="s">
        <v>350</v>
      </c>
      <c r="D8" s="8" t="s">
        <v>247</v>
      </c>
      <c r="E8" s="8" t="s">
        <v>351</v>
      </c>
      <c r="F8" s="10" t="s">
        <v>324</v>
      </c>
      <c r="G8" s="8" t="s">
        <v>182</v>
      </c>
      <c r="H8" s="8" t="s">
        <v>41</v>
      </c>
      <c r="I8" s="8" t="s">
        <v>352</v>
      </c>
      <c r="J8" s="10" t="s">
        <v>324</v>
      </c>
      <c r="K8" s="8" t="s">
        <v>182</v>
      </c>
    </row>
    <row r="9" spans="1:11" ht="15" customHeight="1">
      <c r="A9" s="8" t="s">
        <v>353</v>
      </c>
      <c r="B9" s="8" t="s">
        <v>339</v>
      </c>
      <c r="C9" s="8" t="s">
        <v>354</v>
      </c>
      <c r="D9" s="8" t="s">
        <v>347</v>
      </c>
      <c r="E9" s="8"/>
      <c r="F9" s="10" t="s">
        <v>355</v>
      </c>
      <c r="G9" s="8" t="s">
        <v>182</v>
      </c>
      <c r="H9" s="8" t="s">
        <v>41</v>
      </c>
      <c r="I9" s="8" t="s">
        <v>356</v>
      </c>
      <c r="J9" s="10" t="s">
        <v>355</v>
      </c>
      <c r="K9" s="8" t="s">
        <v>182</v>
      </c>
    </row>
    <row r="10" spans="1:11" ht="15" customHeight="1">
      <c r="A10" s="8" t="s">
        <v>357</v>
      </c>
      <c r="B10" s="8" t="s">
        <v>313</v>
      </c>
      <c r="C10" s="8" t="s">
        <v>358</v>
      </c>
      <c r="D10" s="8" t="s">
        <v>359</v>
      </c>
      <c r="E10" s="8"/>
      <c r="F10" s="10" t="s">
        <v>360</v>
      </c>
      <c r="G10" s="8" t="s">
        <v>361</v>
      </c>
      <c r="H10" s="8" t="s">
        <v>41</v>
      </c>
      <c r="I10" s="8" t="s">
        <v>362</v>
      </c>
      <c r="J10" s="10" t="s">
        <v>360</v>
      </c>
      <c r="K10" s="8" t="s">
        <v>361</v>
      </c>
    </row>
    <row r="11" spans="1:11" ht="15" customHeight="1">
      <c r="A11" s="8" t="s">
        <v>363</v>
      </c>
      <c r="B11" s="8" t="s">
        <v>313</v>
      </c>
      <c r="C11" s="8" t="s">
        <v>364</v>
      </c>
      <c r="D11" s="8" t="s">
        <v>359</v>
      </c>
      <c r="E11" s="8" t="s">
        <v>365</v>
      </c>
      <c r="F11" s="10" t="s">
        <v>360</v>
      </c>
      <c r="G11" s="8" t="s">
        <v>361</v>
      </c>
      <c r="H11" s="8" t="s">
        <v>41</v>
      </c>
      <c r="I11" s="8" t="s">
        <v>366</v>
      </c>
      <c r="J11" s="10" t="s">
        <v>360</v>
      </c>
      <c r="K11" s="8" t="s">
        <v>361</v>
      </c>
    </row>
    <row r="12" spans="1:11" ht="15" customHeight="1">
      <c r="A12" s="16" t="s">
        <v>536</v>
      </c>
      <c r="B12" s="11" t="s">
        <v>367</v>
      </c>
      <c r="C12" s="11" t="s">
        <v>368</v>
      </c>
      <c r="D12" s="11" t="s">
        <v>359</v>
      </c>
      <c r="E12" s="16" t="s">
        <v>537</v>
      </c>
      <c r="F12" s="13" t="s">
        <v>369</v>
      </c>
      <c r="G12" s="11" t="s">
        <v>370</v>
      </c>
      <c r="H12" s="16" t="s">
        <v>371</v>
      </c>
      <c r="I12" s="11" t="s">
        <v>372</v>
      </c>
      <c r="J12" s="13" t="s">
        <v>360</v>
      </c>
      <c r="K12" s="11" t="s">
        <v>361</v>
      </c>
    </row>
    <row r="13" spans="1:11" ht="15" customHeight="1">
      <c r="A13" s="8" t="s">
        <v>373</v>
      </c>
      <c r="B13" s="8" t="s">
        <v>313</v>
      </c>
      <c r="C13" s="8" t="s">
        <v>374</v>
      </c>
      <c r="D13" s="8" t="s">
        <v>359</v>
      </c>
      <c r="E13" s="8"/>
      <c r="F13" s="10" t="s">
        <v>360</v>
      </c>
      <c r="G13" s="8" t="s">
        <v>361</v>
      </c>
      <c r="H13" s="8" t="s">
        <v>41</v>
      </c>
      <c r="I13" s="8" t="s">
        <v>375</v>
      </c>
      <c r="J13" s="10" t="s">
        <v>360</v>
      </c>
      <c r="K13" s="8" t="s">
        <v>361</v>
      </c>
    </row>
    <row r="14" spans="1:11" ht="15" customHeight="1">
      <c r="A14" s="8" t="s">
        <v>376</v>
      </c>
      <c r="B14" s="8" t="s">
        <v>313</v>
      </c>
      <c r="C14" s="8" t="s">
        <v>377</v>
      </c>
      <c r="D14" s="8" t="s">
        <v>347</v>
      </c>
      <c r="E14" s="8" t="s">
        <v>378</v>
      </c>
      <c r="F14" s="10" t="s">
        <v>379</v>
      </c>
      <c r="G14" s="8" t="s">
        <v>40</v>
      </c>
      <c r="H14" s="8" t="s">
        <v>41</v>
      </c>
      <c r="I14" s="8" t="s">
        <v>380</v>
      </c>
      <c r="J14" s="10" t="s">
        <v>379</v>
      </c>
      <c r="K14" s="8" t="s">
        <v>40</v>
      </c>
    </row>
    <row r="15" spans="1:11" ht="15" customHeight="1">
      <c r="A15" s="8" t="s">
        <v>381</v>
      </c>
      <c r="B15" s="8" t="s">
        <v>382</v>
      </c>
      <c r="C15" s="8" t="s">
        <v>383</v>
      </c>
      <c r="D15" s="8" t="s">
        <v>315</v>
      </c>
      <c r="E15" s="8"/>
      <c r="F15" s="10" t="s">
        <v>379</v>
      </c>
      <c r="G15" s="8" t="s">
        <v>40</v>
      </c>
      <c r="H15" s="8" t="s">
        <v>41</v>
      </c>
      <c r="I15" s="8" t="s">
        <v>384</v>
      </c>
      <c r="J15" s="10" t="s">
        <v>379</v>
      </c>
      <c r="K15" s="8" t="s">
        <v>40</v>
      </c>
    </row>
  </sheetData>
  <autoFilter ref="A1:K15" xr:uid="{00000000-0009-0000-0000-000004000000}"/>
  <hyperlinks>
    <hyperlink ref="F2" r:id="rId1" xr:uid="{00000000-0004-0000-0400-000000000000}"/>
    <hyperlink ref="J2" r:id="rId2" xr:uid="{00000000-0004-0000-0400-000001000000}"/>
    <hyperlink ref="F3" r:id="rId3" xr:uid="{00000000-0004-0000-0400-000002000000}"/>
    <hyperlink ref="J3" r:id="rId4" xr:uid="{00000000-0004-0000-0400-000003000000}"/>
    <hyperlink ref="F4" r:id="rId5" xr:uid="{00000000-0004-0000-0400-000004000000}"/>
    <hyperlink ref="J4" r:id="rId6" xr:uid="{00000000-0004-0000-0400-000005000000}"/>
    <hyperlink ref="F5" r:id="rId7" xr:uid="{00000000-0004-0000-0400-000006000000}"/>
    <hyperlink ref="J5" r:id="rId8" xr:uid="{00000000-0004-0000-0400-000007000000}"/>
    <hyperlink ref="F6" r:id="rId9" xr:uid="{00000000-0004-0000-0400-000008000000}"/>
    <hyperlink ref="J6" r:id="rId10" xr:uid="{00000000-0004-0000-0400-000009000000}"/>
    <hyperlink ref="F7" r:id="rId11" xr:uid="{00000000-0004-0000-0400-00000A000000}"/>
    <hyperlink ref="J7" r:id="rId12" xr:uid="{00000000-0004-0000-0400-00000B000000}"/>
    <hyperlink ref="F8" r:id="rId13" xr:uid="{00000000-0004-0000-0400-00000C000000}"/>
    <hyperlink ref="J8" r:id="rId14" xr:uid="{00000000-0004-0000-0400-00000D000000}"/>
    <hyperlink ref="F9" r:id="rId15" xr:uid="{00000000-0004-0000-0400-00000E000000}"/>
    <hyperlink ref="J9" r:id="rId16" xr:uid="{00000000-0004-0000-0400-00000F000000}"/>
    <hyperlink ref="F10" r:id="rId17" xr:uid="{00000000-0004-0000-0400-000010000000}"/>
    <hyperlink ref="J10" r:id="rId18" xr:uid="{00000000-0004-0000-0400-000011000000}"/>
    <hyperlink ref="F11" r:id="rId19" xr:uid="{00000000-0004-0000-0400-000012000000}"/>
    <hyperlink ref="J11" r:id="rId20" xr:uid="{00000000-0004-0000-0400-000013000000}"/>
    <hyperlink ref="F12" r:id="rId21" xr:uid="{00000000-0004-0000-0400-000014000000}"/>
    <hyperlink ref="J12" r:id="rId22" xr:uid="{00000000-0004-0000-0400-000015000000}"/>
    <hyperlink ref="F13" r:id="rId23" xr:uid="{00000000-0004-0000-0400-000016000000}"/>
    <hyperlink ref="J13" r:id="rId24" xr:uid="{00000000-0004-0000-0400-000017000000}"/>
    <hyperlink ref="F14" r:id="rId25" xr:uid="{00000000-0004-0000-0400-000018000000}"/>
    <hyperlink ref="J14" r:id="rId26" xr:uid="{00000000-0004-0000-0400-000019000000}"/>
    <hyperlink ref="F15" r:id="rId27" xr:uid="{00000000-0004-0000-0400-00001A000000}"/>
    <hyperlink ref="J15" r:id="rId28" xr:uid="{00000000-0004-0000-0400-00001B000000}"/>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2"/>
  <sheetViews>
    <sheetView zoomScaleNormal="100" workbookViewId="0">
      <pane xSplit="1" ySplit="1" topLeftCell="I2" activePane="bottomRight" state="frozen"/>
      <selection pane="topRight" activeCell="B1" sqref="B1"/>
      <selection pane="bottomLeft" activeCell="A2" sqref="A2"/>
      <selection pane="bottomRight" activeCell="A13" sqref="A13"/>
    </sheetView>
  </sheetViews>
  <sheetFormatPr defaultColWidth="8.6640625" defaultRowHeight="14.4"/>
  <cols>
    <col min="1" max="1" width="40" customWidth="1"/>
    <col min="2" max="2" width="20" customWidth="1"/>
    <col min="3" max="3" width="34" customWidth="1"/>
    <col min="4" max="4" width="38" customWidth="1"/>
    <col min="5" max="5" width="56" customWidth="1"/>
    <col min="6" max="6" width="16" customWidth="1"/>
    <col min="7" max="7" width="32" customWidth="1"/>
    <col min="8" max="8" width="60" customWidth="1"/>
    <col min="9" max="9" width="50" customWidth="1"/>
    <col min="10" max="10" width="24" customWidth="1"/>
    <col min="11" max="11" width="25" customWidth="1"/>
  </cols>
  <sheetData>
    <row r="1" spans="1:12" ht="30" customHeight="1">
      <c r="A1" s="7" t="s">
        <v>385</v>
      </c>
      <c r="B1" s="7" t="s">
        <v>386</v>
      </c>
      <c r="C1" s="7" t="s">
        <v>133</v>
      </c>
      <c r="D1" s="7" t="s">
        <v>387</v>
      </c>
      <c r="E1" s="7" t="s">
        <v>31</v>
      </c>
      <c r="F1" s="7" t="s">
        <v>32</v>
      </c>
      <c r="G1" s="7" t="s">
        <v>33</v>
      </c>
      <c r="H1" s="7" t="s">
        <v>137</v>
      </c>
      <c r="I1" s="7" t="s">
        <v>138</v>
      </c>
      <c r="J1" s="7" t="s">
        <v>139</v>
      </c>
      <c r="K1" s="18" t="s">
        <v>541</v>
      </c>
      <c r="L1" s="18" t="s">
        <v>543</v>
      </c>
    </row>
    <row r="2" spans="1:12" ht="15" customHeight="1">
      <c r="A2" s="8" t="s">
        <v>388</v>
      </c>
      <c r="B2" s="8" t="s">
        <v>389</v>
      </c>
      <c r="C2" s="8" t="s">
        <v>390</v>
      </c>
      <c r="D2" s="8" t="s">
        <v>391</v>
      </c>
      <c r="E2" s="10" t="s">
        <v>392</v>
      </c>
      <c r="F2" s="8" t="s">
        <v>182</v>
      </c>
      <c r="G2" s="8" t="s">
        <v>41</v>
      </c>
      <c r="H2" s="8" t="s">
        <v>393</v>
      </c>
      <c r="I2" s="10" t="s">
        <v>392</v>
      </c>
      <c r="J2" s="8" t="s">
        <v>182</v>
      </c>
      <c r="K2" s="19" t="s">
        <v>542</v>
      </c>
    </row>
    <row r="3" spans="1:12" ht="15" customHeight="1">
      <c r="A3" s="8" t="s">
        <v>394</v>
      </c>
      <c r="B3" s="8" t="s">
        <v>389</v>
      </c>
      <c r="C3" s="8" t="s">
        <v>395</v>
      </c>
      <c r="D3" s="8" t="s">
        <v>396</v>
      </c>
      <c r="E3" s="10" t="s">
        <v>392</v>
      </c>
      <c r="F3" s="8" t="s">
        <v>182</v>
      </c>
      <c r="G3" s="8" t="s">
        <v>41</v>
      </c>
      <c r="H3" s="8" t="s">
        <v>397</v>
      </c>
      <c r="I3" s="10" t="s">
        <v>392</v>
      </c>
      <c r="J3" s="8" t="s">
        <v>182</v>
      </c>
      <c r="K3" s="19" t="s">
        <v>542</v>
      </c>
    </row>
    <row r="4" spans="1:12" ht="15" customHeight="1">
      <c r="A4" s="8" t="s">
        <v>398</v>
      </c>
      <c r="B4" s="8" t="s">
        <v>389</v>
      </c>
      <c r="C4" s="8" t="s">
        <v>399</v>
      </c>
      <c r="D4" s="8"/>
      <c r="E4" s="10" t="s">
        <v>392</v>
      </c>
      <c r="F4" s="8" t="s">
        <v>182</v>
      </c>
      <c r="G4" s="8" t="s">
        <v>41</v>
      </c>
      <c r="H4" s="8" t="s">
        <v>400</v>
      </c>
      <c r="I4" s="10" t="s">
        <v>401</v>
      </c>
      <c r="J4" s="8" t="s">
        <v>182</v>
      </c>
      <c r="K4" s="19" t="s">
        <v>542</v>
      </c>
    </row>
    <row r="5" spans="1:12" ht="15" customHeight="1">
      <c r="A5" s="11" t="s">
        <v>402</v>
      </c>
      <c r="B5" s="11" t="s">
        <v>403</v>
      </c>
      <c r="C5" s="16" t="s">
        <v>539</v>
      </c>
      <c r="D5" s="11" t="s">
        <v>404</v>
      </c>
      <c r="E5" s="13" t="s">
        <v>405</v>
      </c>
      <c r="F5" s="11" t="s">
        <v>182</v>
      </c>
      <c r="G5" s="11" t="s">
        <v>207</v>
      </c>
      <c r="H5" s="11" t="s">
        <v>406</v>
      </c>
      <c r="I5" s="13" t="s">
        <v>407</v>
      </c>
      <c r="J5" s="11" t="s">
        <v>182</v>
      </c>
      <c r="K5" s="19" t="s">
        <v>542</v>
      </c>
    </row>
    <row r="6" spans="1:12" ht="15" customHeight="1">
      <c r="A6" s="11"/>
      <c r="B6" s="11"/>
      <c r="C6" s="11"/>
      <c r="D6" s="11"/>
      <c r="E6" s="13"/>
      <c r="F6" s="11"/>
      <c r="G6" s="11"/>
      <c r="H6" s="11"/>
      <c r="I6" s="13"/>
      <c r="J6" s="11"/>
      <c r="K6" s="19" t="s">
        <v>542</v>
      </c>
    </row>
    <row r="7" spans="1:12" ht="15" customHeight="1">
      <c r="A7" s="11" t="s">
        <v>408</v>
      </c>
      <c r="B7" s="11" t="s">
        <v>403</v>
      </c>
      <c r="C7" s="17" t="s">
        <v>540</v>
      </c>
      <c r="D7" s="11" t="s">
        <v>409</v>
      </c>
      <c r="E7" s="13" t="s">
        <v>407</v>
      </c>
      <c r="F7" s="11" t="s">
        <v>182</v>
      </c>
      <c r="G7" s="11" t="s">
        <v>207</v>
      </c>
      <c r="H7" s="11" t="s">
        <v>410</v>
      </c>
      <c r="I7" s="13" t="s">
        <v>407</v>
      </c>
      <c r="J7" s="11" t="s">
        <v>182</v>
      </c>
      <c r="K7" s="19" t="s">
        <v>542</v>
      </c>
    </row>
    <row r="8" spans="1:12" ht="15" customHeight="1">
      <c r="A8" s="11"/>
      <c r="B8" s="11"/>
      <c r="C8" s="11"/>
      <c r="D8" s="11"/>
      <c r="E8" s="13"/>
      <c r="F8" s="11"/>
      <c r="G8" s="11"/>
      <c r="H8" s="11"/>
      <c r="I8" s="13"/>
      <c r="J8" s="11"/>
      <c r="K8" s="19"/>
      <c r="L8" s="17"/>
    </row>
    <row r="9" spans="1:12" ht="15" customHeight="1">
      <c r="A9" s="11" t="s">
        <v>411</v>
      </c>
      <c r="B9" s="11" t="s">
        <v>403</v>
      </c>
      <c r="C9" s="20" t="s">
        <v>546</v>
      </c>
      <c r="D9" s="11"/>
      <c r="E9" s="13" t="s">
        <v>407</v>
      </c>
      <c r="F9" s="11" t="s">
        <v>182</v>
      </c>
      <c r="G9" s="11" t="s">
        <v>207</v>
      </c>
      <c r="H9" s="11" t="s">
        <v>412</v>
      </c>
      <c r="I9" s="13" t="s">
        <v>407</v>
      </c>
      <c r="J9" s="11" t="s">
        <v>182</v>
      </c>
      <c r="K9" s="19" t="s">
        <v>542</v>
      </c>
    </row>
    <row r="10" spans="1:12" ht="15" customHeight="1">
      <c r="A10" s="11"/>
      <c r="B10" s="11"/>
      <c r="C10" s="11"/>
      <c r="D10" s="11"/>
      <c r="E10" s="13"/>
      <c r="F10" s="11"/>
      <c r="G10" s="11"/>
      <c r="H10" s="11"/>
      <c r="I10" s="13"/>
      <c r="J10" s="11"/>
      <c r="K10" s="19"/>
    </row>
    <row r="11" spans="1:12" ht="15" customHeight="1">
      <c r="A11" s="8" t="s">
        <v>413</v>
      </c>
      <c r="B11" s="8" t="s">
        <v>414</v>
      </c>
      <c r="C11" s="8" t="s">
        <v>415</v>
      </c>
      <c r="D11" s="8"/>
      <c r="E11" s="10" t="s">
        <v>416</v>
      </c>
      <c r="F11" s="8" t="s">
        <v>182</v>
      </c>
      <c r="G11" s="8" t="s">
        <v>41</v>
      </c>
      <c r="H11" s="8" t="s">
        <v>417</v>
      </c>
      <c r="I11" s="10" t="s">
        <v>416</v>
      </c>
      <c r="J11" s="8" t="s">
        <v>182</v>
      </c>
      <c r="K11" s="19" t="s">
        <v>542</v>
      </c>
      <c r="L11" s="17" t="s">
        <v>544</v>
      </c>
    </row>
    <row r="12" spans="1:12" ht="15" customHeight="1">
      <c r="A12" s="8" t="s">
        <v>418</v>
      </c>
      <c r="B12" s="8" t="s">
        <v>419</v>
      </c>
      <c r="C12" s="8" t="s">
        <v>420</v>
      </c>
      <c r="D12" s="8" t="s">
        <v>421</v>
      </c>
      <c r="E12" s="10" t="s">
        <v>422</v>
      </c>
      <c r="F12" s="8" t="s">
        <v>182</v>
      </c>
      <c r="G12" s="8" t="s">
        <v>41</v>
      </c>
      <c r="H12" s="8" t="s">
        <v>423</v>
      </c>
      <c r="I12" s="10" t="s">
        <v>422</v>
      </c>
      <c r="J12" s="8" t="s">
        <v>182</v>
      </c>
      <c r="K12" s="19" t="s">
        <v>542</v>
      </c>
      <c r="L12" s="17" t="s">
        <v>545</v>
      </c>
    </row>
  </sheetData>
  <autoFilter ref="A1:J12" xr:uid="{00000000-0009-0000-0000-000005000000}"/>
  <hyperlinks>
    <hyperlink ref="E2" r:id="rId1" xr:uid="{00000000-0004-0000-0500-000000000000}"/>
    <hyperlink ref="I2" r:id="rId2" xr:uid="{00000000-0004-0000-0500-000001000000}"/>
    <hyperlink ref="E3" r:id="rId3" xr:uid="{00000000-0004-0000-0500-000002000000}"/>
    <hyperlink ref="I3" r:id="rId4" xr:uid="{00000000-0004-0000-0500-000003000000}"/>
    <hyperlink ref="E4" r:id="rId5" xr:uid="{00000000-0004-0000-0500-000004000000}"/>
    <hyperlink ref="I4" r:id="rId6" xr:uid="{00000000-0004-0000-0500-000005000000}"/>
    <hyperlink ref="E5" r:id="rId7" xr:uid="{00000000-0004-0000-0500-000006000000}"/>
    <hyperlink ref="I5" r:id="rId8" xr:uid="{00000000-0004-0000-0500-000007000000}"/>
    <hyperlink ref="E7" r:id="rId9" xr:uid="{00000000-0004-0000-0500-00000A000000}"/>
    <hyperlink ref="I7" r:id="rId10" xr:uid="{00000000-0004-0000-0500-00000B000000}"/>
    <hyperlink ref="E9" r:id="rId11" xr:uid="{00000000-0004-0000-0500-00000E000000}"/>
    <hyperlink ref="I9" r:id="rId12" xr:uid="{00000000-0004-0000-0500-00000F000000}"/>
    <hyperlink ref="E11" r:id="rId13" xr:uid="{00000000-0004-0000-0500-000012000000}"/>
    <hyperlink ref="I11" r:id="rId14" xr:uid="{00000000-0004-0000-0500-000013000000}"/>
    <hyperlink ref="E12" r:id="rId15" xr:uid="{00000000-0004-0000-0500-000014000000}"/>
    <hyperlink ref="I12" r:id="rId16" xr:uid="{00000000-0004-0000-0500-000015000000}"/>
    <hyperlink ref="C9" r:id="rId17" display="https://www.bing.com/maps/default.aspx?v=2&amp;pc=FACEBK&amp;mid=8100&amp;where1=292%20B%E1%BA%A1ch%20%C4%90%E1%BA%B1ng%2C%20Hanoi%2C%20Vietnam&amp;FORM=FBKPL1&amp;mkt=en-US&amp;fbclid=IwZXh0bgNhZW0CMTAAcGRvZgFicmlkETFWZEdUaktDYnpzdXZEMlVwc3J0YwZhcHBfaWQQMjIyMDM5MTc4ODIwMDg5MgABHnS2qwzBuU4GK5k9BC7XqhGpIQ5w5YnTjVc9PCi-1u_Eu_v06NRFpw3b_V3h_aem_QrJ_zuZwHiSfyOnwvt5syw" xr:uid="{4577701B-36BC-441F-88FB-8F50C002CE09}"/>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4"/>
  <sheetViews>
    <sheetView zoomScaleNormal="100" workbookViewId="0">
      <pane xSplit="1" ySplit="1" topLeftCell="B2" activePane="bottomRight" state="frozen"/>
      <selection pane="topRight" activeCell="B1" sqref="B1"/>
      <selection pane="bottomLeft" activeCell="A2" sqref="A2"/>
      <selection pane="bottomRight" activeCell="D10" sqref="D10"/>
    </sheetView>
  </sheetViews>
  <sheetFormatPr defaultColWidth="8.6640625" defaultRowHeight="14.4"/>
  <cols>
    <col min="1" max="1" width="36" customWidth="1"/>
    <col min="2" max="2" width="30" customWidth="1"/>
    <col min="3" max="3" width="14" customWidth="1"/>
    <col min="4" max="4" width="44" customWidth="1"/>
    <col min="5" max="5" width="58" customWidth="1"/>
    <col min="6" max="6" width="24" customWidth="1"/>
    <col min="7" max="7" width="30" customWidth="1"/>
    <col min="8" max="8" width="60" customWidth="1"/>
    <col min="9" max="9" width="50" customWidth="1"/>
    <col min="10" max="10" width="24" customWidth="1"/>
  </cols>
  <sheetData>
    <row r="1" spans="1:10" ht="30" customHeight="1">
      <c r="A1" s="7" t="s">
        <v>385</v>
      </c>
      <c r="B1" s="7" t="s">
        <v>424</v>
      </c>
      <c r="C1" s="7" t="s">
        <v>310</v>
      </c>
      <c r="D1" s="7" t="s">
        <v>135</v>
      </c>
      <c r="E1" s="7" t="s">
        <v>31</v>
      </c>
      <c r="F1" s="7" t="s">
        <v>32</v>
      </c>
      <c r="G1" s="7" t="s">
        <v>33</v>
      </c>
      <c r="H1" s="7" t="s">
        <v>137</v>
      </c>
      <c r="I1" s="7" t="s">
        <v>138</v>
      </c>
      <c r="J1" s="7" t="s">
        <v>139</v>
      </c>
    </row>
    <row r="2" spans="1:10" ht="15" customHeight="1">
      <c r="A2" s="8" t="s">
        <v>425</v>
      </c>
      <c r="B2" s="8" t="s">
        <v>426</v>
      </c>
      <c r="C2" s="8" t="s">
        <v>347</v>
      </c>
      <c r="D2" s="8"/>
      <c r="E2" s="10" t="s">
        <v>427</v>
      </c>
      <c r="F2" s="8" t="s">
        <v>361</v>
      </c>
      <c r="G2" s="8" t="s">
        <v>41</v>
      </c>
      <c r="H2" s="8" t="s">
        <v>428</v>
      </c>
      <c r="I2" s="10" t="s">
        <v>427</v>
      </c>
      <c r="J2" s="8" t="s">
        <v>361</v>
      </c>
    </row>
    <row r="3" spans="1:10" ht="15" customHeight="1">
      <c r="A3" s="8" t="s">
        <v>425</v>
      </c>
      <c r="B3" s="8" t="s">
        <v>429</v>
      </c>
      <c r="C3" s="8" t="s">
        <v>315</v>
      </c>
      <c r="D3" s="8"/>
      <c r="E3" s="10" t="s">
        <v>427</v>
      </c>
      <c r="F3" s="8" t="s">
        <v>361</v>
      </c>
      <c r="G3" s="8" t="s">
        <v>41</v>
      </c>
      <c r="H3" s="8" t="s">
        <v>428</v>
      </c>
      <c r="I3" s="10" t="s">
        <v>427</v>
      </c>
      <c r="J3" s="8" t="s">
        <v>361</v>
      </c>
    </row>
    <row r="4" spans="1:10" ht="23.25" customHeight="1">
      <c r="A4" s="8" t="s">
        <v>430</v>
      </c>
      <c r="B4" s="8" t="s">
        <v>431</v>
      </c>
      <c r="C4" s="8" t="s">
        <v>247</v>
      </c>
      <c r="D4" s="21" t="s">
        <v>547</v>
      </c>
      <c r="E4" s="10" t="s">
        <v>427</v>
      </c>
      <c r="F4" s="8" t="s">
        <v>432</v>
      </c>
      <c r="G4" s="8" t="s">
        <v>41</v>
      </c>
      <c r="H4" s="8" t="s">
        <v>433</v>
      </c>
      <c r="I4" s="10" t="s">
        <v>427</v>
      </c>
      <c r="J4" s="8" t="s">
        <v>156</v>
      </c>
    </row>
    <row r="5" spans="1:10" ht="23.25" customHeight="1">
      <c r="A5" s="8" t="s">
        <v>430</v>
      </c>
      <c r="B5" s="8" t="s">
        <v>434</v>
      </c>
      <c r="C5" s="8" t="s">
        <v>347</v>
      </c>
      <c r="D5" s="22" t="s">
        <v>547</v>
      </c>
      <c r="E5" s="10" t="s">
        <v>427</v>
      </c>
      <c r="F5" s="8" t="s">
        <v>432</v>
      </c>
      <c r="G5" s="8" t="s">
        <v>41</v>
      </c>
      <c r="H5" s="8" t="s">
        <v>433</v>
      </c>
      <c r="I5" s="10" t="s">
        <v>427</v>
      </c>
      <c r="J5" s="8" t="s">
        <v>156</v>
      </c>
    </row>
    <row r="6" spans="1:10" ht="23.25" customHeight="1">
      <c r="A6" s="8" t="s">
        <v>430</v>
      </c>
      <c r="B6" s="8" t="s">
        <v>435</v>
      </c>
      <c r="C6" s="8" t="s">
        <v>436</v>
      </c>
      <c r="D6" s="22" t="s">
        <v>547</v>
      </c>
      <c r="E6" s="10" t="s">
        <v>427</v>
      </c>
      <c r="F6" s="8" t="s">
        <v>432</v>
      </c>
      <c r="G6" s="8" t="s">
        <v>41</v>
      </c>
      <c r="H6" s="8" t="s">
        <v>433</v>
      </c>
      <c r="I6" s="10" t="s">
        <v>427</v>
      </c>
      <c r="J6" s="8" t="s">
        <v>156</v>
      </c>
    </row>
    <row r="7" spans="1:10" ht="23.25" customHeight="1">
      <c r="A7" s="8" t="s">
        <v>430</v>
      </c>
      <c r="B7" s="8" t="s">
        <v>437</v>
      </c>
      <c r="C7" s="8" t="s">
        <v>315</v>
      </c>
      <c r="D7" s="22" t="s">
        <v>547</v>
      </c>
      <c r="E7" s="10" t="s">
        <v>427</v>
      </c>
      <c r="F7" s="8" t="s">
        <v>432</v>
      </c>
      <c r="G7" s="8" t="s">
        <v>41</v>
      </c>
      <c r="H7" s="8" t="s">
        <v>433</v>
      </c>
      <c r="I7" s="10" t="s">
        <v>427</v>
      </c>
      <c r="J7" s="8" t="s">
        <v>156</v>
      </c>
    </row>
    <row r="8" spans="1:10" ht="15" customHeight="1">
      <c r="A8" s="8" t="s">
        <v>438</v>
      </c>
      <c r="B8" s="8" t="s">
        <v>439</v>
      </c>
      <c r="C8" s="8" t="s">
        <v>247</v>
      </c>
      <c r="D8" s="8" t="s">
        <v>440</v>
      </c>
      <c r="E8" s="10" t="s">
        <v>427</v>
      </c>
      <c r="F8" s="8" t="s">
        <v>361</v>
      </c>
      <c r="G8" s="8" t="s">
        <v>41</v>
      </c>
      <c r="H8" s="8" t="s">
        <v>441</v>
      </c>
      <c r="I8" s="10" t="s">
        <v>427</v>
      </c>
      <c r="J8" s="8" t="s">
        <v>361</v>
      </c>
    </row>
    <row r="9" spans="1:10" ht="15" customHeight="1">
      <c r="A9" s="8" t="s">
        <v>438</v>
      </c>
      <c r="B9" s="8" t="s">
        <v>442</v>
      </c>
      <c r="C9" s="8" t="s">
        <v>436</v>
      </c>
      <c r="D9" s="8" t="s">
        <v>440</v>
      </c>
      <c r="E9" s="10" t="s">
        <v>427</v>
      </c>
      <c r="F9" s="8" t="s">
        <v>361</v>
      </c>
      <c r="G9" s="8" t="s">
        <v>41</v>
      </c>
      <c r="H9" s="8" t="s">
        <v>441</v>
      </c>
      <c r="I9" s="10" t="s">
        <v>427</v>
      </c>
      <c r="J9" s="8" t="s">
        <v>361</v>
      </c>
    </row>
    <row r="10" spans="1:10" ht="15" customHeight="1">
      <c r="A10" s="8" t="s">
        <v>438</v>
      </c>
      <c r="B10" s="8" t="s">
        <v>443</v>
      </c>
      <c r="C10" s="8" t="s">
        <v>341</v>
      </c>
      <c r="D10" s="8" t="s">
        <v>444</v>
      </c>
      <c r="E10" s="10" t="s">
        <v>427</v>
      </c>
      <c r="F10" s="8" t="s">
        <v>361</v>
      </c>
      <c r="G10" s="8" t="s">
        <v>41</v>
      </c>
      <c r="H10" s="8" t="s">
        <v>441</v>
      </c>
      <c r="I10" s="10" t="s">
        <v>427</v>
      </c>
      <c r="J10" s="8" t="s">
        <v>361</v>
      </c>
    </row>
    <row r="11" spans="1:10" ht="15" customHeight="1">
      <c r="A11" s="8" t="s">
        <v>445</v>
      </c>
      <c r="B11" s="8" t="s">
        <v>446</v>
      </c>
      <c r="C11" s="8" t="s">
        <v>315</v>
      </c>
      <c r="D11" s="8" t="s">
        <v>447</v>
      </c>
      <c r="E11" s="10" t="s">
        <v>448</v>
      </c>
      <c r="F11" s="8" t="s">
        <v>182</v>
      </c>
      <c r="G11" s="8" t="s">
        <v>41</v>
      </c>
      <c r="H11" s="8" t="s">
        <v>449</v>
      </c>
      <c r="I11" s="10" t="s">
        <v>448</v>
      </c>
      <c r="J11" s="8" t="s">
        <v>182</v>
      </c>
    </row>
    <row r="12" spans="1:10" ht="15" customHeight="1">
      <c r="A12" s="8" t="s">
        <v>450</v>
      </c>
      <c r="B12" s="8" t="s">
        <v>451</v>
      </c>
      <c r="C12" s="8" t="s">
        <v>347</v>
      </c>
      <c r="D12" s="8" t="s">
        <v>452</v>
      </c>
      <c r="E12" s="10" t="s">
        <v>453</v>
      </c>
      <c r="F12" s="8" t="s">
        <v>182</v>
      </c>
      <c r="G12" s="8" t="s">
        <v>41</v>
      </c>
      <c r="H12" s="8" t="s">
        <v>454</v>
      </c>
      <c r="I12" s="10" t="s">
        <v>453</v>
      </c>
      <c r="J12" s="8" t="s">
        <v>182</v>
      </c>
    </row>
    <row r="13" spans="1:10" ht="15" customHeight="1">
      <c r="A13" s="8" t="s">
        <v>455</v>
      </c>
      <c r="B13" s="8" t="s">
        <v>456</v>
      </c>
      <c r="C13" s="8" t="s">
        <v>347</v>
      </c>
      <c r="D13" s="8"/>
      <c r="E13" s="10" t="s">
        <v>453</v>
      </c>
      <c r="F13" s="8" t="s">
        <v>182</v>
      </c>
      <c r="G13" s="8" t="s">
        <v>41</v>
      </c>
      <c r="H13" s="8" t="s">
        <v>457</v>
      </c>
      <c r="I13" s="10" t="s">
        <v>453</v>
      </c>
      <c r="J13" s="8" t="s">
        <v>182</v>
      </c>
    </row>
    <row r="14" spans="1:10" ht="23.25" customHeight="1">
      <c r="A14" s="11" t="s">
        <v>458</v>
      </c>
      <c r="B14" s="11" t="s">
        <v>459</v>
      </c>
      <c r="C14" s="11" t="s">
        <v>347</v>
      </c>
      <c r="D14" s="11" t="s">
        <v>460</v>
      </c>
      <c r="E14" s="13" t="s">
        <v>461</v>
      </c>
      <c r="F14" s="11" t="s">
        <v>361</v>
      </c>
      <c r="G14" s="11" t="s">
        <v>462</v>
      </c>
      <c r="H14" s="11" t="s">
        <v>463</v>
      </c>
      <c r="I14" s="13" t="s">
        <v>461</v>
      </c>
      <c r="J14" s="11" t="s">
        <v>361</v>
      </c>
    </row>
  </sheetData>
  <autoFilter ref="A1:J14" xr:uid="{00000000-0009-0000-0000-000006000000}"/>
  <hyperlinks>
    <hyperlink ref="E2" r:id="rId1" xr:uid="{00000000-0004-0000-0600-000000000000}"/>
    <hyperlink ref="I2" r:id="rId2" xr:uid="{00000000-0004-0000-0600-000001000000}"/>
    <hyperlink ref="E3" r:id="rId3" xr:uid="{00000000-0004-0000-0600-000002000000}"/>
    <hyperlink ref="I3" r:id="rId4" xr:uid="{00000000-0004-0000-0600-000003000000}"/>
    <hyperlink ref="E4" r:id="rId5" xr:uid="{00000000-0004-0000-0600-000004000000}"/>
    <hyperlink ref="I4" r:id="rId6" xr:uid="{00000000-0004-0000-0600-000005000000}"/>
    <hyperlink ref="E5" r:id="rId7" xr:uid="{00000000-0004-0000-0600-000006000000}"/>
    <hyperlink ref="I5" r:id="rId8" xr:uid="{00000000-0004-0000-0600-000007000000}"/>
    <hyperlink ref="E6" r:id="rId9" xr:uid="{00000000-0004-0000-0600-000008000000}"/>
    <hyperlink ref="I6" r:id="rId10" xr:uid="{00000000-0004-0000-0600-000009000000}"/>
    <hyperlink ref="E7" r:id="rId11" xr:uid="{00000000-0004-0000-0600-00000A000000}"/>
    <hyperlink ref="I7" r:id="rId12" xr:uid="{00000000-0004-0000-0600-00000B000000}"/>
    <hyperlink ref="E8" r:id="rId13" xr:uid="{00000000-0004-0000-0600-00000C000000}"/>
    <hyperlink ref="I8" r:id="rId14" xr:uid="{00000000-0004-0000-0600-00000D000000}"/>
    <hyperlink ref="E9" r:id="rId15" xr:uid="{00000000-0004-0000-0600-00000E000000}"/>
    <hyperlink ref="I9" r:id="rId16" xr:uid="{00000000-0004-0000-0600-00000F000000}"/>
    <hyperlink ref="E10" r:id="rId17" xr:uid="{00000000-0004-0000-0600-000010000000}"/>
    <hyperlink ref="I10" r:id="rId18" xr:uid="{00000000-0004-0000-0600-000011000000}"/>
    <hyperlink ref="E11" r:id="rId19" xr:uid="{00000000-0004-0000-0600-000012000000}"/>
    <hyperlink ref="I11" r:id="rId20" xr:uid="{00000000-0004-0000-0600-000013000000}"/>
    <hyperlink ref="E12" r:id="rId21" xr:uid="{00000000-0004-0000-0600-000014000000}"/>
    <hyperlink ref="I12" r:id="rId22" xr:uid="{00000000-0004-0000-0600-000015000000}"/>
    <hyperlink ref="E13" r:id="rId23" xr:uid="{00000000-0004-0000-0600-000016000000}"/>
    <hyperlink ref="I13" r:id="rId24" xr:uid="{00000000-0004-0000-0600-000017000000}"/>
    <hyperlink ref="E14" r:id="rId25" xr:uid="{00000000-0004-0000-0600-000018000000}"/>
    <hyperlink ref="I14" r:id="rId26" xr:uid="{00000000-0004-0000-0600-000019000000}"/>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
  <sheetViews>
    <sheetView zoomScaleNormal="100" workbookViewId="0">
      <pane xSplit="1" ySplit="1" topLeftCell="C2" activePane="bottomRight" state="frozen"/>
      <selection pane="topRight" activeCell="B1" sqref="B1"/>
      <selection pane="bottomLeft" activeCell="A2" sqref="A2"/>
      <selection pane="bottomRight"/>
    </sheetView>
  </sheetViews>
  <sheetFormatPr defaultColWidth="8.6640625" defaultRowHeight="14.4"/>
  <cols>
    <col min="1" max="1" width="40" customWidth="1"/>
    <col min="2" max="2" width="26" customWidth="1"/>
    <col min="3" max="3" width="32" customWidth="1"/>
    <col min="4" max="4" width="44" customWidth="1"/>
    <col min="5" max="5" width="58" customWidth="1"/>
    <col min="6" max="6" width="18" customWidth="1"/>
    <col min="7" max="7" width="24" customWidth="1"/>
    <col min="8" max="8" width="60" customWidth="1"/>
    <col min="9" max="9" width="50" customWidth="1"/>
    <col min="10" max="10" width="24" customWidth="1"/>
  </cols>
  <sheetData>
    <row r="1" spans="1:10" ht="30" customHeight="1">
      <c r="A1" s="7" t="s">
        <v>464</v>
      </c>
      <c r="B1" s="7" t="s">
        <v>465</v>
      </c>
      <c r="C1" s="7" t="s">
        <v>133</v>
      </c>
      <c r="D1" s="7" t="s">
        <v>466</v>
      </c>
      <c r="E1" s="7" t="s">
        <v>136</v>
      </c>
      <c r="F1" s="7" t="s">
        <v>32</v>
      </c>
      <c r="G1" s="7" t="s">
        <v>33</v>
      </c>
      <c r="H1" s="7" t="s">
        <v>137</v>
      </c>
      <c r="I1" s="7" t="s">
        <v>138</v>
      </c>
      <c r="J1" s="7" t="s">
        <v>139</v>
      </c>
    </row>
    <row r="2" spans="1:10" ht="15" customHeight="1">
      <c r="A2" s="8" t="s">
        <v>44</v>
      </c>
      <c r="B2" s="8" t="s">
        <v>467</v>
      </c>
      <c r="C2" s="8" t="s">
        <v>247</v>
      </c>
      <c r="D2" s="8" t="s">
        <v>468</v>
      </c>
      <c r="E2" s="10" t="s">
        <v>47</v>
      </c>
      <c r="F2" s="8" t="s">
        <v>156</v>
      </c>
      <c r="G2" s="8" t="s">
        <v>41</v>
      </c>
      <c r="H2" s="8" t="s">
        <v>469</v>
      </c>
      <c r="I2" s="10" t="s">
        <v>47</v>
      </c>
      <c r="J2" s="8" t="s">
        <v>156</v>
      </c>
    </row>
    <row r="3" spans="1:10" ht="15" customHeight="1">
      <c r="A3" s="8" t="s">
        <v>470</v>
      </c>
      <c r="B3" s="8" t="s">
        <v>471</v>
      </c>
      <c r="C3" s="8" t="s">
        <v>472</v>
      </c>
      <c r="D3" s="8" t="s">
        <v>473</v>
      </c>
      <c r="E3" s="10" t="s">
        <v>474</v>
      </c>
      <c r="F3" s="8" t="s">
        <v>182</v>
      </c>
      <c r="G3" s="8" t="s">
        <v>41</v>
      </c>
      <c r="H3" s="8" t="s">
        <v>475</v>
      </c>
      <c r="I3" s="10" t="s">
        <v>474</v>
      </c>
      <c r="J3" s="8" t="s">
        <v>182</v>
      </c>
    </row>
    <row r="4" spans="1:10" ht="15" customHeight="1">
      <c r="A4" s="8" t="s">
        <v>476</v>
      </c>
      <c r="B4" s="8" t="s">
        <v>477</v>
      </c>
      <c r="C4" s="8" t="s">
        <v>247</v>
      </c>
      <c r="D4" s="8" t="s">
        <v>478</v>
      </c>
      <c r="E4" s="10" t="s">
        <v>126</v>
      </c>
      <c r="F4" s="8" t="s">
        <v>40</v>
      </c>
      <c r="G4" s="8" t="s">
        <v>41</v>
      </c>
      <c r="H4" s="8" t="s">
        <v>479</v>
      </c>
      <c r="I4" s="10" t="s">
        <v>480</v>
      </c>
      <c r="J4" s="8" t="s">
        <v>40</v>
      </c>
    </row>
    <row r="5" spans="1:10" ht="23.25" customHeight="1">
      <c r="A5" s="8" t="s">
        <v>481</v>
      </c>
      <c r="B5" s="8" t="s">
        <v>477</v>
      </c>
      <c r="C5" s="8" t="s">
        <v>95</v>
      </c>
      <c r="D5" s="8" t="s">
        <v>482</v>
      </c>
      <c r="E5" s="10" t="s">
        <v>126</v>
      </c>
      <c r="F5" s="8" t="s">
        <v>40</v>
      </c>
      <c r="G5" s="8" t="s">
        <v>41</v>
      </c>
      <c r="H5" s="8" t="s">
        <v>483</v>
      </c>
      <c r="I5" s="10" t="s">
        <v>126</v>
      </c>
      <c r="J5" s="8" t="s">
        <v>40</v>
      </c>
    </row>
    <row r="6" spans="1:10" ht="15" customHeight="1">
      <c r="A6" s="8" t="s">
        <v>484</v>
      </c>
      <c r="B6" s="8" t="s">
        <v>485</v>
      </c>
      <c r="C6" s="8" t="s">
        <v>300</v>
      </c>
      <c r="D6" s="8" t="s">
        <v>486</v>
      </c>
      <c r="E6" s="10" t="s">
        <v>487</v>
      </c>
      <c r="F6" s="8" t="s">
        <v>40</v>
      </c>
      <c r="G6" s="8" t="s">
        <v>41</v>
      </c>
      <c r="H6" s="8" t="s">
        <v>488</v>
      </c>
      <c r="I6" s="10" t="s">
        <v>146</v>
      </c>
      <c r="J6" s="8" t="s">
        <v>40</v>
      </c>
    </row>
    <row r="7" spans="1:10" ht="15" customHeight="1">
      <c r="A7" s="8" t="s">
        <v>51</v>
      </c>
      <c r="B7" s="8" t="s">
        <v>489</v>
      </c>
      <c r="C7" s="8" t="s">
        <v>95</v>
      </c>
      <c r="D7" s="8" t="s">
        <v>490</v>
      </c>
      <c r="E7" s="10" t="s">
        <v>54</v>
      </c>
      <c r="F7" s="8" t="s">
        <v>55</v>
      </c>
      <c r="G7" s="8" t="s">
        <v>41</v>
      </c>
      <c r="H7" s="8"/>
      <c r="I7" s="8"/>
      <c r="J7" s="8"/>
    </row>
    <row r="8" spans="1:10" ht="15" customHeight="1">
      <c r="A8" s="8" t="s">
        <v>491</v>
      </c>
      <c r="B8" s="8" t="s">
        <v>492</v>
      </c>
      <c r="C8" s="8" t="s">
        <v>95</v>
      </c>
      <c r="D8" s="8" t="s">
        <v>493</v>
      </c>
      <c r="E8" s="10" t="s">
        <v>115</v>
      </c>
      <c r="F8" s="8" t="s">
        <v>40</v>
      </c>
      <c r="G8" s="8" t="s">
        <v>41</v>
      </c>
      <c r="H8" s="8"/>
      <c r="I8" s="8"/>
      <c r="J8" s="8"/>
    </row>
    <row r="9" spans="1:10" ht="15" customHeight="1">
      <c r="A9" s="8" t="s">
        <v>494</v>
      </c>
      <c r="B9" s="8" t="s">
        <v>495</v>
      </c>
      <c r="C9" s="8" t="s">
        <v>496</v>
      </c>
      <c r="D9" s="8" t="s">
        <v>497</v>
      </c>
      <c r="E9" s="10" t="s">
        <v>130</v>
      </c>
      <c r="F9" s="8" t="s">
        <v>40</v>
      </c>
      <c r="G9" s="8" t="s">
        <v>41</v>
      </c>
      <c r="H9" s="8"/>
      <c r="I9" s="8"/>
      <c r="J9" s="8"/>
    </row>
    <row r="10" spans="1:10" ht="15" customHeight="1">
      <c r="A10" s="8" t="s">
        <v>498</v>
      </c>
      <c r="B10" s="8" t="s">
        <v>499</v>
      </c>
      <c r="C10" s="8" t="s">
        <v>500</v>
      </c>
      <c r="D10" s="8" t="s">
        <v>501</v>
      </c>
      <c r="E10" s="10" t="s">
        <v>78</v>
      </c>
      <c r="F10" s="8" t="s">
        <v>40</v>
      </c>
      <c r="G10" s="8" t="s">
        <v>41</v>
      </c>
      <c r="H10" s="8"/>
      <c r="I10" s="8"/>
      <c r="J10" s="8"/>
    </row>
  </sheetData>
  <autoFilter ref="A1:J10" xr:uid="{00000000-0009-0000-0000-000007000000}"/>
  <hyperlinks>
    <hyperlink ref="E2" r:id="rId1" xr:uid="{00000000-0004-0000-0700-000000000000}"/>
    <hyperlink ref="I2" r:id="rId2" xr:uid="{00000000-0004-0000-0700-000001000000}"/>
    <hyperlink ref="E3" r:id="rId3" xr:uid="{00000000-0004-0000-0700-000002000000}"/>
    <hyperlink ref="I3" r:id="rId4" xr:uid="{00000000-0004-0000-0700-000003000000}"/>
    <hyperlink ref="E4" r:id="rId5" xr:uid="{00000000-0004-0000-0700-000004000000}"/>
    <hyperlink ref="I4" r:id="rId6" xr:uid="{00000000-0004-0000-0700-000005000000}"/>
    <hyperlink ref="E5" r:id="rId7" xr:uid="{00000000-0004-0000-0700-000006000000}"/>
    <hyperlink ref="I5" r:id="rId8" xr:uid="{00000000-0004-0000-0700-000007000000}"/>
    <hyperlink ref="E6" r:id="rId9" xr:uid="{00000000-0004-0000-0700-000008000000}"/>
    <hyperlink ref="I6" r:id="rId10" xr:uid="{00000000-0004-0000-0700-000009000000}"/>
    <hyperlink ref="E7" r:id="rId11" xr:uid="{00000000-0004-0000-0700-00000A000000}"/>
    <hyperlink ref="E8" r:id="rId12" xr:uid="{00000000-0004-0000-0700-00000B000000}"/>
    <hyperlink ref="E9" r:id="rId13" xr:uid="{00000000-0004-0000-0700-00000C000000}"/>
    <hyperlink ref="E10" r:id="rId14" xr:uid="{00000000-0004-0000-0700-00000D000000}"/>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
  <sheetViews>
    <sheetView tabSelected="1"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cols>
    <col min="1" max="1" width="44" customWidth="1"/>
    <col min="2" max="2" width="40" customWidth="1"/>
    <col min="3" max="3" width="70" customWidth="1"/>
    <col min="4" max="4" width="26" customWidth="1"/>
  </cols>
  <sheetData>
    <row r="1" spans="1:4" ht="30" customHeight="1">
      <c r="A1" s="7" t="s">
        <v>502</v>
      </c>
      <c r="B1" s="7" t="s">
        <v>503</v>
      </c>
      <c r="C1" s="7" t="s">
        <v>504</v>
      </c>
      <c r="D1" s="7" t="s">
        <v>32</v>
      </c>
    </row>
    <row r="2" spans="1:4" ht="15" customHeight="1">
      <c r="A2" s="8" t="s">
        <v>505</v>
      </c>
      <c r="B2" s="8" t="s">
        <v>506</v>
      </c>
      <c r="C2" s="10" t="s">
        <v>66</v>
      </c>
      <c r="D2" s="8" t="s">
        <v>55</v>
      </c>
    </row>
    <row r="3" spans="1:4" ht="15" customHeight="1">
      <c r="A3" s="8" t="s">
        <v>507</v>
      </c>
      <c r="B3" s="8" t="s">
        <v>508</v>
      </c>
      <c r="C3" s="10" t="s">
        <v>54</v>
      </c>
      <c r="D3" s="8" t="s">
        <v>55</v>
      </c>
    </row>
    <row r="4" spans="1:4" ht="15" customHeight="1">
      <c r="A4" s="8" t="s">
        <v>509</v>
      </c>
      <c r="B4" s="8" t="s">
        <v>510</v>
      </c>
      <c r="C4" s="10" t="s">
        <v>511</v>
      </c>
      <c r="D4" s="8" t="s">
        <v>55</v>
      </c>
    </row>
    <row r="5" spans="1:4" ht="15" customHeight="1">
      <c r="A5" s="8" t="s">
        <v>44</v>
      </c>
      <c r="B5" s="8" t="s">
        <v>512</v>
      </c>
      <c r="C5" s="10" t="s">
        <v>47</v>
      </c>
      <c r="D5" s="8" t="s">
        <v>156</v>
      </c>
    </row>
    <row r="6" spans="1:4" ht="15" customHeight="1">
      <c r="A6" s="8" t="s">
        <v>36</v>
      </c>
      <c r="B6" s="8" t="s">
        <v>513</v>
      </c>
      <c r="C6" s="10" t="s">
        <v>235</v>
      </c>
      <c r="D6" s="8" t="s">
        <v>156</v>
      </c>
    </row>
    <row r="7" spans="1:4" ht="15" customHeight="1">
      <c r="A7" s="8" t="s">
        <v>514</v>
      </c>
      <c r="B7" s="8" t="s">
        <v>515</v>
      </c>
      <c r="C7" s="10" t="s">
        <v>155</v>
      </c>
      <c r="D7" s="8" t="s">
        <v>156</v>
      </c>
    </row>
    <row r="8" spans="1:4" ht="15" customHeight="1">
      <c r="A8" s="8" t="s">
        <v>516</v>
      </c>
      <c r="B8" s="8" t="s">
        <v>517</v>
      </c>
      <c r="C8" s="10" t="s">
        <v>518</v>
      </c>
      <c r="D8" s="8" t="s">
        <v>519</v>
      </c>
    </row>
    <row r="9" spans="1:4" ht="15" customHeight="1">
      <c r="A9" s="8" t="s">
        <v>520</v>
      </c>
      <c r="B9" s="8" t="s">
        <v>521</v>
      </c>
      <c r="C9" s="10" t="s">
        <v>522</v>
      </c>
      <c r="D9" s="8" t="s">
        <v>40</v>
      </c>
    </row>
    <row r="10" spans="1:4" ht="15" customHeight="1">
      <c r="A10" s="8" t="s">
        <v>523</v>
      </c>
      <c r="B10" s="8" t="s">
        <v>524</v>
      </c>
      <c r="C10" s="10" t="s">
        <v>525</v>
      </c>
      <c r="D10" s="8" t="s">
        <v>40</v>
      </c>
    </row>
  </sheetData>
  <autoFilter ref="A1:D10" xr:uid="{00000000-0009-0000-0000-000008000000}"/>
  <hyperlinks>
    <hyperlink ref="C2" r:id="rId1" xr:uid="{00000000-0004-0000-0800-000000000000}"/>
    <hyperlink ref="C3" r:id="rId2" xr:uid="{00000000-0004-0000-0800-000001000000}"/>
    <hyperlink ref="C4" r:id="rId3" xr:uid="{00000000-0004-0000-0800-000002000000}"/>
    <hyperlink ref="C5" r:id="rId4" xr:uid="{00000000-0004-0000-0800-000003000000}"/>
    <hyperlink ref="C6" r:id="rId5" xr:uid="{00000000-0004-0000-0800-000004000000}"/>
    <hyperlink ref="C7" r:id="rId6" xr:uid="{00000000-0004-0000-0800-000005000000}"/>
    <hyperlink ref="C8" r:id="rId7" xr:uid="{00000000-0004-0000-0800-000006000000}"/>
    <hyperlink ref="C9" r:id="rId8" xr:uid="{00000000-0004-0000-0800-000007000000}"/>
    <hyperlink ref="C10" r:id="rId9" xr:uid="{00000000-0004-0000-0800-000008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Huong_dan</vt:lpstr>
      <vt:lpstr>Su_kien</vt:lpstr>
      <vt:lpstr>Bao_tang</vt:lpstr>
      <vt:lpstr>Di_tich</vt:lpstr>
      <vt:lpstr>Cafe_nhac_song</vt:lpstr>
      <vt:lpstr>Workshop</vt:lpstr>
      <vt:lpstr>Photobooth</vt:lpstr>
      <vt:lpstr>Nha_hat_Dia_diem</vt:lpstr>
      <vt:lpstr>Nguon_theo_doi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Khoa Nghị Đặng</cp:lastModifiedBy>
  <cp:revision>0</cp:revision>
  <dcterms:created xsi:type="dcterms:W3CDTF">2026-10-03T04:41:36Z</dcterms:created>
  <dcterms:modified xsi:type="dcterms:W3CDTF">2026-10-03T06:39:27Z</dcterms:modified>
  <dc:language>en-US</dc:language>
</cp:coreProperties>
</file>